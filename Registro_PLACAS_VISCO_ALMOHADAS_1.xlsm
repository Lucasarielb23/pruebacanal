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ctrlProps/ctrlProps6.xml" ContentType="application/vnd.ms-excel.controlproperties+xml"/>
  <Override PartName="/xl/drawings/_rels/drawing5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drawings/drawing5.xml" ContentType="application/vnd.openxmlformats-officedocument.drawing+xml"/>
  <Override PartName="/xl/drawings/vmlDrawing2.vml" ContentType="application/vnd.openxmlformats-officedocument.vmlDrawing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omments2.xml" ContentType="application/vnd.openxmlformats-officedocument.spreadsheetml.comments+xml"/>
  <Override PartName="/xl/_rels/workbook.xml.rels" ContentType="application/vnd.openxmlformats-package.relationships+xml"/>
  <Override PartName="/xl/media/image1.png" ContentType="image/pn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GRÁFICO" sheetId="1" state="visible" r:id="rId4"/>
    <sheet name="CTRL_PESO_VISUAL" sheetId="2" state="visible" r:id="rId5"/>
    <sheet name="TABLA-PCPAL" sheetId="3" state="visible" r:id="rId6"/>
    <sheet name="LISTADOS" sheetId="4" state="hidden" r:id="rId7"/>
    <sheet name="PESOS STD" sheetId="5" state="hidden" r:id="rId8"/>
  </sheets>
  <definedNames>
    <definedName function="false" hidden="false" localSheetId="1" name="_xlnm.Print_Area" vbProcedure="false">CTRL_PESO_VISUAL!$B$1:$M$25</definedName>
    <definedName function="false" hidden="true" localSheetId="2" name="_xlnm._FilterDatabase" vbProcedure="false">'TABLA-PCPAL'!$A$1:$R$218</definedName>
    <definedName function="false" hidden="false" name="TM" vbProcedure="false">LISTADOS!$J$3:$J$11</definedName>
    <definedName function="false" hidden="false" name="TT" vbProcedure="false">LISTADOS!$J$12:$J$21</definedName>
    <definedName function="false" hidden="false" localSheetId="0" name="Graf_N" vbProcedure="false">OFFSET(GRÁFICO!$AA$2,0,0,MAX(1,GRÁFICO!$X$3),1)</definedName>
    <definedName function="false" hidden="false" localSheetId="0" name="Graf_Peso" vbProcedure="false">OFFSET(GRÁFICO!$AA$2,0,1,MAX(1,GRÁFICO!$X$3),1)</definedName>
    <definedName function="false" hidden="false" localSheetId="0" name="Graf_LCS" vbProcedure="false">OFFSET(GRÁFICO!$AA$2,0,2,MAX(1,GRÁFICO!$X$3),1)</definedName>
    <definedName function="false" hidden="false" localSheetId="0" name="Graf_LCI" vbProcedure="false">OFFSET(GRÁFICO!$AA$2,0,3,MAX(1,GRÁFICO!$X$3),1)</definedName>
    <definedName function="false" hidden="false" localSheetId="0" name="Graf_Nominal" vbProcedure="false">OFFSET(GRÁFICO!$AA$2,0,4,MAX(1,GRÁFICO!$X$3),1)</definedName>
  </definedNames>
  <calcPr fullCalcOnLoad="1"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2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K8" authorId="0">
      <text>
        <r>
          <rPr>
            <sz val="10"/>
            <rFont val="Arial"/>
            <family val="2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SI NO HAY SCRAP DEJAR “  0  ”
MAX 20 un.</t>
        </r>
      </text>
    </comment>
    <comment ref="L8" authorId="0">
      <text>
        <r>
          <rPr>
            <sz val="10"/>
            <rFont val="Arial"/>
            <family val="2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Registrar en último control horario cantidad total x TIPO PLACA (todo OK + NO OK). 
Ej CLASICAS:
Horario:   13:00           Total:  400</t>
        </r>
      </text>
    </comment>
  </commentList>
</comments>
</file>

<file path=xl/sharedStrings.xml><?xml version="1.0" encoding="utf-8"?>
<sst xmlns="http://schemas.openxmlformats.org/spreadsheetml/2006/main" count="2090" uniqueCount="308">
  <si>
    <t xml:space="preserve">CALCULO INDICES Cp y Cpk</t>
  </si>
  <si>
    <t xml:space="preserve">N°</t>
  </si>
  <si>
    <t xml:space="preserve">Peso (gr)</t>
  </si>
  <si>
    <t xml:space="preserve">LCS</t>
  </si>
  <si>
    <t xml:space="preserve">LCI</t>
  </si>
  <si>
    <t xml:space="preserve">Nominal</t>
  </si>
  <si>
    <t xml:space="preserve">Tipo de Placa / Modelo:</t>
  </si>
  <si>
    <t xml:space="preserve">CLÁSICAS</t>
  </si>
  <si>
    <t xml:space="preserve">Placa seleccionada</t>
  </si>
  <si>
    <t xml:space="preserve">n (tamaño de muestra)</t>
  </si>
  <si>
    <t xml:space="preserve">Media (m)</t>
  </si>
  <si>
    <t xml:space="preserve">Desviación Estándar (s)</t>
  </si>
  <si>
    <t xml:space="preserve">LCS (prom. Peso máximo)</t>
  </si>
  <si>
    <t xml:space="preserve">LCI (prom. Peso mínimo)</t>
  </si>
  <si>
    <t xml:space="preserve">Nominal/Óptimo (prom. Peso STD)</t>
  </si>
  <si>
    <t xml:space="preserve">Cp</t>
  </si>
  <si>
    <t xml:space="preserve">Cpk</t>
  </si>
  <si>
    <t xml:space="preserve">Mensaje de advertencia</t>
  </si>
  <si>
    <t xml:space="preserve">Desv. Estándar (s)</t>
  </si>
  <si>
    <t xml:space="preserve">Tamaño de Muestra (n)</t>
  </si>
  <si>
    <t xml:space="preserve">Nota: LCS y LCI corresponden al promedio de los pesos máximo y mínimo registrados (pueden variar por temporada/formulación); el valor Nominal/Óptimo del gráfico es el promedio del Peso STD (gr) registrado para el tipo de placa seleccionado.</t>
  </si>
  <si>
    <t xml:space="preserve">CHECKLIS DE CONTROL DE PESOS - CONTROL VISUAL y SCRAP de PLACAS VISCO - ALMOHADAS</t>
  </si>
  <si>
    <t xml:space="preserve">Equipo:</t>
  </si>
  <si>
    <t xml:space="preserve">Inyectora Afro+Carrusel</t>
  </si>
  <si>
    <t xml:space="preserve">FO-ALH-025</t>
  </si>
  <si>
    <t xml:space="preserve">Mes:</t>
  </si>
  <si>
    <t xml:space="preserve">Revisión: 03</t>
  </si>
  <si>
    <t xml:space="preserve">Planta Capilla</t>
  </si>
  <si>
    <t xml:space="preserve">Revisión: 01/09/26</t>
  </si>
  <si>
    <t xml:space="preserve">Celdas para completar con datos.</t>
  </si>
  <si>
    <t xml:space="preserve">Exceso peso</t>
  </si>
  <si>
    <t xml:space="preserve">Livianas</t>
  </si>
  <si>
    <t xml:space="preserve">Fecha</t>
  </si>
  <si>
    <t xml:space="preserve">Responsable</t>
  </si>
  <si>
    <t xml:space="preserve">turno (M/T)</t>
  </si>
  <si>
    <t xml:space="preserve">Placa</t>
  </si>
  <si>
    <t xml:space="preserve">Horario</t>
  </si>
  <si>
    <t xml:space="preserve">Peso mínimo</t>
  </si>
  <si>
    <t xml:space="preserve">Peso máximo</t>
  </si>
  <si>
    <t xml:space="preserve">SCRAP (Cant. Placas)</t>
  </si>
  <si>
    <t xml:space="preserve">Total (Cant. Placas)</t>
  </si>
  <si>
    <t xml:space="preserve">OTRO 1</t>
  </si>
  <si>
    <t xml:space="preserve">TM</t>
  </si>
  <si>
    <t xml:space="preserve">Código</t>
  </si>
  <si>
    <t xml:space="preserve">Peso STD (gr)</t>
  </si>
  <si>
    <t xml:space="preserve">Control visual placas:</t>
  </si>
  <si>
    <t xml:space="preserve">GEOMETRÍA</t>
  </si>
  <si>
    <t xml:space="preserve">OK</t>
  </si>
  <si>
    <t xml:space="preserve">BURBUJAS DE AIRE</t>
  </si>
  <si>
    <t xml:space="preserve">AUSENCIA DE COLOR VIOLETA</t>
  </si>
  <si>
    <t xml:space="preserve">OTRO (aclarar observaciones)</t>
  </si>
  <si>
    <t xml:space="preserve">EXCESO DE DESMOLDANTE</t>
  </si>
  <si>
    <t xml:space="preserve">NO OK</t>
  </si>
  <si>
    <t xml:space="preserve">Observaciones:</t>
  </si>
  <si>
    <t xml:space="preserve">* Favor realizar el control visual y control de peso de las placas al inicio del turno (arranque) y luego cada hora (mínimo 8 controles/pesaje por tipo de placa por turno).</t>
  </si>
  <si>
    <t xml:space="preserve">* Si se detectan desvíos en los pesos de las placas y/o defectos se debe informar al supervisor y CALIBRAR el equipo hasta lograr PESOS dentro de ESPECIFICACIÓN/placas CONFORMES.</t>
  </si>
  <si>
    <t xml:space="preserve">* SCRAP: Cargar en las celdas el TOTAL de placas no conformes (NC) descartadas por turno, por MOLDE; al finalizar el turno registrar el total de placas inyectadas conformes (C) TOTAL por MOLDES . Para el cálculo de % scrap se sumarán los NC+C.  Con placas NC &gt; a 8 unidades diarias totales informar desvío al supervisor.</t>
  </si>
  <si>
    <t xml:space="preserve">Rank(aux)</t>
  </si>
  <si>
    <t xml:space="preserve">Key(aux)</t>
  </si>
  <si>
    <t xml:space="preserve">46239SALINAS G.TMCLÁSICAS0,375</t>
  </si>
  <si>
    <t xml:space="preserve">SALINAS G.</t>
  </si>
  <si>
    <t xml:space="preserve">46239SALINAS G.TMCERVICALES0,375</t>
  </si>
  <si>
    <t xml:space="preserve">CERVICALES</t>
  </si>
  <si>
    <t xml:space="preserve">46239SALINAS G.TMTHERMOSENSE0,375</t>
  </si>
  <si>
    <t xml:space="preserve">THERMOSENSE</t>
  </si>
  <si>
    <t xml:space="preserve">46239SALINAS G.TMTHERMOSENSE0,416666666666667</t>
  </si>
  <si>
    <t xml:space="preserve">46239SALINAS G.TMCLÁSICAS0,416666666666667</t>
  </si>
  <si>
    <t xml:space="preserve">46239SALINAS G.TMCERVICALES0,416666666666667</t>
  </si>
  <si>
    <t xml:space="preserve">46239SALINAS G.TMCERVICALES0,458333333333333</t>
  </si>
  <si>
    <t xml:space="preserve">46239SALINAS G.TMCLÁSICAS0,458333333333333</t>
  </si>
  <si>
    <t xml:space="preserve">46239SALINAS G.TMTHERMOSENSE0,458333333333333</t>
  </si>
  <si>
    <t xml:space="preserve">46239SALINAS G.TMTHERMOSENSE0,5</t>
  </si>
  <si>
    <t xml:space="preserve">46239SALINAS G.TMCLÁSICAS0,5</t>
  </si>
  <si>
    <t xml:space="preserve">46239SALINAS G.TMCERVICALES0,5</t>
  </si>
  <si>
    <t xml:space="preserve">46240SALINAS G.TMCERVICALES0,333333333333333</t>
  </si>
  <si>
    <t xml:space="preserve">46240SALINAS G.TMCLÁSICAS0,333333333333333</t>
  </si>
  <si>
    <t xml:space="preserve">46240SALINAS G.TMTHERMOSENSE0,333333333333333</t>
  </si>
  <si>
    <t xml:space="preserve">46240SALINAS G.TMTHERMOSENSE0,375</t>
  </si>
  <si>
    <t xml:space="preserve">46240SALINAS G.TMCLÁSICAS0,375</t>
  </si>
  <si>
    <t xml:space="preserve">46240SALINAS G.TMCERVICALES0,375</t>
  </si>
  <si>
    <t xml:space="preserve">46240SALINAS G.TMCERVICALES0,416666666666667</t>
  </si>
  <si>
    <t xml:space="preserve">46240SALINAS G.TMCLÁSICAS0,416666666666667</t>
  </si>
  <si>
    <t xml:space="preserve">46240SALINAS G.TMTHERMOSENSE0,416666666666667</t>
  </si>
  <si>
    <t xml:space="preserve">46240SALINAS G.TMTHERMOSENSE0,458333333333333</t>
  </si>
  <si>
    <t xml:space="preserve">46240SALINAS G.TMCLÁSICAS0,458333333333333</t>
  </si>
  <si>
    <t xml:space="preserve">46240SALINAS G.TMCERVICALES0,458333333333333</t>
  </si>
  <si>
    <t xml:space="preserve">46240SALINAS G.TMCERVICALES0,5</t>
  </si>
  <si>
    <t xml:space="preserve">46240SALINAS G.TMCLÁSICAS0,5</t>
  </si>
  <si>
    <t xml:space="preserve">46240SALINAS G.TMTHERMOSENSE0,5</t>
  </si>
  <si>
    <t xml:space="preserve">46241SALINAS G.TMCLÁSICAS0,333333333333333</t>
  </si>
  <si>
    <t xml:space="preserve">46241SALINAS G.TMCERVICALES0,333333333333333</t>
  </si>
  <si>
    <t xml:space="preserve">46241SALINAS G.TMCERVICALES0,375</t>
  </si>
  <si>
    <t xml:space="preserve">46241SALINAS G.TMCLÁSICAS0,375</t>
  </si>
  <si>
    <t xml:space="preserve">46241SALINAS G.TMCLÁSICAS0,416666666666667</t>
  </si>
  <si>
    <t xml:space="preserve">46241SALINAS G.TMCERVICALES0,416666666666667</t>
  </si>
  <si>
    <t xml:space="preserve">46241SALINAS G.TMCERVICALES0,458333333333333</t>
  </si>
  <si>
    <t xml:space="preserve">46241SALINAS G.TMCLÁSICAS0,458333333333333</t>
  </si>
  <si>
    <t xml:space="preserve">46244SALINAS G.TMCLÁSICAS0,25</t>
  </si>
  <si>
    <t xml:space="preserve">46244SALINAS G.TMCERVICALES0,25</t>
  </si>
  <si>
    <t xml:space="preserve">46244SALINAS G.TMCERVICALES0,291666666666667</t>
  </si>
  <si>
    <t xml:space="preserve">46244SALINAS G.TMCLÁSICAS0,291666666666667</t>
  </si>
  <si>
    <t xml:space="preserve">46244SALINAS G.TMCLÁSICAS0,333333333333333</t>
  </si>
  <si>
    <t xml:space="preserve">46244SALINAS G.TMCERVICALES0,333333333333333</t>
  </si>
  <si>
    <t xml:space="preserve">46244SALINAS G.TMCERVICALES0,375</t>
  </si>
  <si>
    <t xml:space="preserve">46244SALINAS G.TMCLÁSICAS0,375</t>
  </si>
  <si>
    <t xml:space="preserve">46244CABRERA B.TMCLÁSICAS0,416666666666667</t>
  </si>
  <si>
    <t xml:space="preserve">CABRERA B.</t>
  </si>
  <si>
    <t xml:space="preserve">46244CABRERA B.TMCERVICALES0,416666666666667</t>
  </si>
  <si>
    <t xml:space="preserve">46244CABRERA B.TMCERVICALES0,458333333333333</t>
  </si>
  <si>
    <t xml:space="preserve">46244CABRERA B.TMCLÁSICAS0,458333333333333</t>
  </si>
  <si>
    <t xml:space="preserve">46244CABRERA B.TMCLÁSICAS0,5</t>
  </si>
  <si>
    <t xml:space="preserve">46244CABRERA B.TMCERVICALES0,5</t>
  </si>
  <si>
    <t xml:space="preserve">46244CABRERA B.TMCERVICALES0,541666666666667</t>
  </si>
  <si>
    <t xml:space="preserve">46244CABRERA B.TMCLÁSICAS0,541666666666667</t>
  </si>
  <si>
    <t xml:space="preserve">46245SALINAS G.TMCLÁSICAS0,25</t>
  </si>
  <si>
    <t xml:space="preserve">46245SALINAS G.TMCERVICALES0,25</t>
  </si>
  <si>
    <t xml:space="preserve">46245SALINAS G.TMCERVICALES0,291666666666667</t>
  </si>
  <si>
    <t xml:space="preserve">46245SALINAS G.TMCLÁSICAS0,291666666666667</t>
  </si>
  <si>
    <t xml:space="preserve">46245SALINAS G.TMCLÁSICAS0,333333333333333</t>
  </si>
  <si>
    <t xml:space="preserve">46245SALINAS G.TMCERVICALES0,333333333333333</t>
  </si>
  <si>
    <t xml:space="preserve">46245SALINAS G.TMCERVICALES0,375</t>
  </si>
  <si>
    <t xml:space="preserve">46245SALINAS G.TMCLÁSICAS0,375</t>
  </si>
  <si>
    <t xml:space="preserve">46245CABRERA B.TMCLÁSICAS0,416666666666667</t>
  </si>
  <si>
    <t xml:space="preserve">46245CABRERA B.TMCERVICALES0,416666666666667</t>
  </si>
  <si>
    <t xml:space="preserve">46245CABRERA B.TMCERVICALES0,458333333333333</t>
  </si>
  <si>
    <t xml:space="preserve">46245CABRERA B.TMCLÁSICAS0,458333333333333</t>
  </si>
  <si>
    <t xml:space="preserve">46245CABRERA B.TMCERVICALES0,5</t>
  </si>
  <si>
    <t xml:space="preserve">46245CABRERA B.TMCLÁSICAS0,5</t>
  </si>
  <si>
    <t xml:space="preserve">46245CABRERA B.TMCLÁSICAS0,541666666666667</t>
  </si>
  <si>
    <t xml:space="preserve">46245CABRERA B.TMCERVICALES0,541666666666667</t>
  </si>
  <si>
    <t xml:space="preserve">46246SALINAS G.TMCERVICALES0,25</t>
  </si>
  <si>
    <t xml:space="preserve">46246SALINAS G.TMCLÁSICAS0,25</t>
  </si>
  <si>
    <t xml:space="preserve">46246SALINAS G.TMTHERMOSENSE0,25</t>
  </si>
  <si>
    <t xml:space="preserve">46246SALINAS G.TMTHERMOSENSE0,291666666666667</t>
  </si>
  <si>
    <t xml:space="preserve">46246SALINAS G.TMCLÁSICAS0,291666666666667</t>
  </si>
  <si>
    <t xml:space="preserve">46246SALINAS G.TMCERVICALES0,291666666666667</t>
  </si>
  <si>
    <t xml:space="preserve">46246SALINAS G.TMCERVICALES0,333333333333333</t>
  </si>
  <si>
    <t xml:space="preserve">46246SALINAS G.TMCLÁSICAS0,333333333333333</t>
  </si>
  <si>
    <t xml:space="preserve">46246SALINAS G.TMTHERMOSENSE0,333333333333333</t>
  </si>
  <si>
    <t xml:space="preserve">46246SALINAS G.TMTHERMOSENSE0,375</t>
  </si>
  <si>
    <t xml:space="preserve">46246SALINAS G.TMCLÁSICAS0,375</t>
  </si>
  <si>
    <t xml:space="preserve">46246SALINAS G.TMCERVICALES0,375</t>
  </si>
  <si>
    <t xml:space="preserve">46246CABRERA B.TMCERVICALES0,416666666666667</t>
  </si>
  <si>
    <t xml:space="preserve">46246CABRERA B.TMCLÁSICAS0,416666666666667</t>
  </si>
  <si>
    <t xml:space="preserve">46246CABRERA B.TMTHERMOSENSE0,416666666666667</t>
  </si>
  <si>
    <t xml:space="preserve">46246CABRERA B.TMTHERMOSENSE0,458333333333333</t>
  </si>
  <si>
    <t xml:space="preserve">46246CABRERA B.TMCERVICALES0,458333333333333</t>
  </si>
  <si>
    <t xml:space="preserve">46246CABRERA B.TMCLÁSICAS0,458333333333333</t>
  </si>
  <si>
    <t xml:space="preserve">46246CABRERA B.TMCLÁSICAS0,5</t>
  </si>
  <si>
    <t xml:space="preserve">46246CABRERA B.TMCERVICALES0,5</t>
  </si>
  <si>
    <t xml:space="preserve">46246CABRERA B.TMTHERMOSENSE0,5</t>
  </si>
  <si>
    <t xml:space="preserve">46246CABRERA B.TMTHERMOSENSE0,541666666666667</t>
  </si>
  <si>
    <t xml:space="preserve">46246CABRERA B.TMCERVICALES0,541666666666667</t>
  </si>
  <si>
    <t xml:space="preserve">46246CABRERA B.TMCLÁSICAS0,541666666666667</t>
  </si>
  <si>
    <t xml:space="preserve">46247CABRERA B.TMCLÁSICAS0,25</t>
  </si>
  <si>
    <t xml:space="preserve">46247CABRERA B.TMTHERMOSENSE0,25</t>
  </si>
  <si>
    <t xml:space="preserve">46247CABRERA B.TMTHERMOSENSE0,291666666666667</t>
  </si>
  <si>
    <t xml:space="preserve">46247CABRERA B.TMCLÁSICAS0,291666666666667</t>
  </si>
  <si>
    <t xml:space="preserve">46247CABRERA B.TMCLÁSICAS0,333333333333333</t>
  </si>
  <si>
    <t xml:space="preserve">46247CABRERA B.TMTHERMOSENSE0,333333333333333</t>
  </si>
  <si>
    <t xml:space="preserve">46247CABRERA B.TMTHERMOSENSE0,375</t>
  </si>
  <si>
    <t xml:space="preserve">46247CABRERA B.TMCLÁSICAS0,375</t>
  </si>
  <si>
    <t xml:space="preserve">46247SALINAS G.TMCLÁSICAS0,416666666666667</t>
  </si>
  <si>
    <t xml:space="preserve">46247SALINAS G.TMTHERMOSENSE0,416666666666667</t>
  </si>
  <si>
    <t xml:space="preserve">46247SALINAS G.TMTHERMOSENSE0,458333333333333</t>
  </si>
  <si>
    <t xml:space="preserve">46247SALINAS G.TMCLÁSICAS0,458333333333333</t>
  </si>
  <si>
    <t xml:space="preserve">46247SALINAS G.TMCLÁSICAS0,5</t>
  </si>
  <si>
    <t xml:space="preserve">46247SALINAS G.TMTHERMOSENSE0,5</t>
  </si>
  <si>
    <t xml:space="preserve">46248SALINAS G.TMCLÁSICAS0,25</t>
  </si>
  <si>
    <t xml:space="preserve">46248SALINAS G.TMCERVICALES0,25</t>
  </si>
  <si>
    <t xml:space="preserve">46248SALINAS G.TMCERVICALES0,291666666666667</t>
  </si>
  <si>
    <t xml:space="preserve">46248SALINAS G.TMCLÁSICAS0,291666666666667</t>
  </si>
  <si>
    <t xml:space="preserve">46248SALINAS G.TMCLÁSICAS0,333333333333333</t>
  </si>
  <si>
    <t xml:space="preserve">46248SALINAS G.TMCERVICALES0,333333333333333</t>
  </si>
  <si>
    <t xml:space="preserve">46248SALINAS G.TMCERVICALES0,375</t>
  </si>
  <si>
    <t xml:space="preserve">46248SALINAS G.TMCLÁSICAS0,375</t>
  </si>
  <si>
    <t xml:space="preserve">46248SALINAS G.TMCLÁSICAS0,416666666666667</t>
  </si>
  <si>
    <t xml:space="preserve">46248SALINAS G.TMCERVICALES0,416666666666667</t>
  </si>
  <si>
    <t xml:space="preserve">46248SALINAS G.TMCERVICALES0,458333333333333</t>
  </si>
  <si>
    <t xml:space="preserve">46248SALINAS G.TMCLÁSICAS0,458333333333333</t>
  </si>
  <si>
    <t xml:space="preserve">46248SALINAS G.TMCLÁSICAS0,5</t>
  </si>
  <si>
    <t xml:space="preserve">46248SALINAS G.TMCERVICALES0,5</t>
  </si>
  <si>
    <t xml:space="preserve">46248SALINAS G.TMCERVICALES0,541666666666667</t>
  </si>
  <si>
    <t xml:space="preserve">46248SALINAS G.TMCLÁSICAS0,541666666666667</t>
  </si>
  <si>
    <t xml:space="preserve">46254SALINAS G.TMCLÁSICAS0,25</t>
  </si>
  <si>
    <t xml:space="preserve">46254SALINAS G.TMCERVICALES0,25</t>
  </si>
  <si>
    <t xml:space="preserve">46254SALINAS G.TMPROMOS0,25</t>
  </si>
  <si>
    <t xml:space="preserve">PROMOS</t>
  </si>
  <si>
    <t xml:space="preserve">46254SALINAS G.TMPROMOS0,291666666666667</t>
  </si>
  <si>
    <t xml:space="preserve">46254SALINAS G.TMCLÁSICAS0,291666666666667</t>
  </si>
  <si>
    <t xml:space="preserve">46254SALINAS G.TMCERVICALES0,291666666666667</t>
  </si>
  <si>
    <t xml:space="preserve">46254SALINAS G.TMCERVICALES0,333333333333333</t>
  </si>
  <si>
    <t xml:space="preserve">46254SALINAS G.TMCLÁSICAS0,333333333333333</t>
  </si>
  <si>
    <t xml:space="preserve">46254SALINAS G.TMPROMOS0,333333333333333</t>
  </si>
  <si>
    <t xml:space="preserve">46254SALINAS G.TMPROMOS0,375</t>
  </si>
  <si>
    <t xml:space="preserve">46254SALINAS G.TMCLÁSICAS0,375</t>
  </si>
  <si>
    <t xml:space="preserve">46254SALINAS G.TMCERVICALES0,375</t>
  </si>
  <si>
    <t xml:space="preserve">46254SALINAS G.TMCERVICALES0,458333333333333</t>
  </si>
  <si>
    <t xml:space="preserve">46254SALINAS G.TMCLÁSICAS0,458333333333333</t>
  </si>
  <si>
    <t xml:space="preserve">46254SALINAS G.TMPROMOS0,458333333333333</t>
  </si>
  <si>
    <t xml:space="preserve">46254SALINAS G.TMPROMOS0,5</t>
  </si>
  <si>
    <t xml:space="preserve">46254SALINAS G.TMCLÁSICAS0,5</t>
  </si>
  <si>
    <t xml:space="preserve">46254SALINAS G.TMCERVICALES0,5</t>
  </si>
  <si>
    <t xml:space="preserve">46255SALINAS G.TMCLÁSICAS0,25</t>
  </si>
  <si>
    <t xml:space="preserve">46255SALINAS G.TMCERVICALES0,25</t>
  </si>
  <si>
    <t xml:space="preserve">46255SALINAS G.TMCERVICALES0,291666666666667</t>
  </si>
  <si>
    <t xml:space="preserve">46255SALINAS G.TMCLÁSICAS0,291666666666667</t>
  </si>
  <si>
    <t xml:space="preserve">46255SALINAS G.TMCLÁSICAS0,333333333333333</t>
  </si>
  <si>
    <t xml:space="preserve">46255SALINAS G.TMCERVICALES0,333333333333333</t>
  </si>
  <si>
    <t xml:space="preserve">46255SALINAS G.TMCERVICALES0,375</t>
  </si>
  <si>
    <t xml:space="preserve">46255SALINAS G.TMCLÁSICAS0,375</t>
  </si>
  <si>
    <t xml:space="preserve">46255SALINAS G.TMCLÁSICAS0,416666666666667</t>
  </si>
  <si>
    <t xml:space="preserve">46255SALINAS G.TMCERVICALES0,416666666666667</t>
  </si>
  <si>
    <t xml:space="preserve">46255SALINAS G.TMCERVICALES0,458333333333333</t>
  </si>
  <si>
    <t xml:space="preserve">46255SALINAS G.TMCLÁSICAS0,458333333333333</t>
  </si>
  <si>
    <t xml:space="preserve">46255SALINAS G.TMCLÁSICAS0,5</t>
  </si>
  <si>
    <t xml:space="preserve">46255SALINAS G.TMCERVICALES0,5</t>
  </si>
  <si>
    <t xml:space="preserve">46255SALINAS G.TMCERVICALES0,541666666666667</t>
  </si>
  <si>
    <t xml:space="preserve">46255SALINAS G.TMCLÁSICAS0,541666666666667</t>
  </si>
  <si>
    <t xml:space="preserve">46258SALINAS G.TMCLÁSICAS0,416666666666667</t>
  </si>
  <si>
    <t xml:space="preserve">46258SALINAS G.TMCERVICALES0,416666666666667</t>
  </si>
  <si>
    <t xml:space="preserve">46258SALINAS G.TMCERVICALES0,458333333333333</t>
  </si>
  <si>
    <t xml:space="preserve">46258SALINAS G.TMCLÁSICAS0,458333333333333</t>
  </si>
  <si>
    <t xml:space="preserve">46258SALINAS G.TMCLÁSICAS0,5</t>
  </si>
  <si>
    <t xml:space="preserve">46258SALINAS G.TMCERVICALES0,5</t>
  </si>
  <si>
    <t xml:space="preserve">46259SALINAS G.TMCERVICALES0,25</t>
  </si>
  <si>
    <t xml:space="preserve">46259SALINAS G.TMCLÁSICAS0,25</t>
  </si>
  <si>
    <t xml:space="preserve">46259SALINAS G.TMPROMOS0,25</t>
  </si>
  <si>
    <t xml:space="preserve">46259SALINAS G.TMPROMOS0,291666666666667</t>
  </si>
  <si>
    <t xml:space="preserve">46259SALINAS G.TMCERVICALES0,291666666666667</t>
  </si>
  <si>
    <t xml:space="preserve">46259SALINAS G.TMCLÁSICAS0,291666666666667</t>
  </si>
  <si>
    <t xml:space="preserve">46259SALINAS G.TMCLÁSICAS0,333333333333333</t>
  </si>
  <si>
    <t xml:space="preserve">46259SALINAS G.TMCERVICALES0,333333333333333</t>
  </si>
  <si>
    <t xml:space="preserve">46259SALINAS G.TMPROMOS0,333333333333333</t>
  </si>
  <si>
    <t xml:space="preserve">46259SALINAS G.TMPROMOS0,375</t>
  </si>
  <si>
    <t xml:space="preserve">46259SALINAS G.TMCLÁSICAS0,375</t>
  </si>
  <si>
    <t xml:space="preserve">46259SALINAS G.TMCERVICALES0,375</t>
  </si>
  <si>
    <t xml:space="preserve">46259SALINAS G.TMCERVICALES0,416666666666667</t>
  </si>
  <si>
    <t xml:space="preserve">46259SALINAS G.TMPROMOS0,416666666666667</t>
  </si>
  <si>
    <t xml:space="preserve">46259SALINAS G.TMPROMOS0,458333333333333</t>
  </si>
  <si>
    <t xml:space="preserve">46259SALINAS G.TMCLÁSICAS0,458333333333333</t>
  </si>
  <si>
    <t xml:space="preserve">46259SALINAS G.TMCERVICALES0,458333333333333</t>
  </si>
  <si>
    <t xml:space="preserve">46259CABRERA B.TMCERVICALES0,5</t>
  </si>
  <si>
    <t xml:space="preserve">46259CABRERA B.TMCERVICALES0,541666666666667</t>
  </si>
  <si>
    <t xml:space="preserve">46259CABRERA B.TMCLÁSICAS0,5</t>
  </si>
  <si>
    <t xml:space="preserve">46259CABRERA B.TMCLÁSICAS0,541666666666667</t>
  </si>
  <si>
    <t xml:space="preserve">46260CABRERA B.TMCLÁSICAS0,25</t>
  </si>
  <si>
    <t xml:space="preserve">46260CABRERA B.TMCERVICALES0,25</t>
  </si>
  <si>
    <t xml:space="preserve">46260CABRERA B.TMCERVICALES0,291666666666667</t>
  </si>
  <si>
    <t xml:space="preserve">46260CABRERA B.TMCLÁSICAS0,291666666666667</t>
  </si>
  <si>
    <t xml:space="preserve">46260CABRERA B.TMCLÁSICAS0,333333333333333</t>
  </si>
  <si>
    <t xml:space="preserve">46260CABRERA B.TMCERVICALES0,333333333333333</t>
  </si>
  <si>
    <t xml:space="preserve">46260CABRERA B.TMCERVICALES0,375</t>
  </si>
  <si>
    <t xml:space="preserve">46260CABRERA B.TMCLÁSICAS0,375</t>
  </si>
  <si>
    <t xml:space="preserve">46260CABRERA B.TMCLÁSICAS0,416666666666667</t>
  </si>
  <si>
    <t xml:space="preserve">46260CABRERA B.TMCERVICALES0,416666666666667</t>
  </si>
  <si>
    <t xml:space="preserve">46260CABRERA B.TMCERVICALES0,458333333333333</t>
  </si>
  <si>
    <t xml:space="preserve">46260CABRERA B.TMCLÁSICAS0,458333333333333</t>
  </si>
  <si>
    <t xml:space="preserve">46265SALINAS G.TMCLÁSICAS0,25</t>
  </si>
  <si>
    <t xml:space="preserve">46265SALINAS G.TMCERVICALES0,25</t>
  </si>
  <si>
    <t xml:space="preserve">46265SALINAS G.TMCERVICALES0,291666666666667</t>
  </si>
  <si>
    <t xml:space="preserve">46265SALINAS G.TMCLÁSICAS0,291666666666667</t>
  </si>
  <si>
    <t xml:space="preserve">46265SALINAS G.TMCLÁSICAS0,333333333333333</t>
  </si>
  <si>
    <t xml:space="preserve">46265SALINAS G.TMCERVICALES0,333333333333333</t>
  </si>
  <si>
    <t xml:space="preserve">46265SALINAS G.TMCERVICALES0,375</t>
  </si>
  <si>
    <t xml:space="preserve">46265SALINAS G.TMCLÁSICAS0,375</t>
  </si>
  <si>
    <t xml:space="preserve">46265SALINAS G.TMCLÁSICAS0,416666666666667</t>
  </si>
  <si>
    <t xml:space="preserve">46265SALINAS G.TMCERVICALES0,416666666666667</t>
  </si>
  <si>
    <t xml:space="preserve">46265SALINAS G.TMCERVICALES0,458333333333333</t>
  </si>
  <si>
    <t xml:space="preserve">46265SALINAS G.TMCLÁSICAS0,458333333333333</t>
  </si>
  <si>
    <t xml:space="preserve">46265CABRERA B.TMCLÁSICAS0,5</t>
  </si>
  <si>
    <t xml:space="preserve">46265CABRERA B.TMCERVICALES0,5</t>
  </si>
  <si>
    <t xml:space="preserve">46265CABRERA B.TMCERVICALES0,541666666666667</t>
  </si>
  <si>
    <t xml:space="preserve">46265CABRERA B.TMCLÁSICAS0,541666666666667</t>
  </si>
  <si>
    <t xml:space="preserve">46266CABRERA B.TMCERVICALES0,25</t>
  </si>
  <si>
    <t xml:space="preserve">46266CABRERA B.TMCLÁSICAS0,25</t>
  </si>
  <si>
    <t xml:space="preserve">46266CABRERA B.TMCLÁSICAS0,291666666666667</t>
  </si>
  <si>
    <t xml:space="preserve">46266CABRERA B.TMCERVICALES0,291666666666667</t>
  </si>
  <si>
    <t xml:space="preserve">46266OTRO 2TMCERVICALES0,541666666666667</t>
  </si>
  <si>
    <t xml:space="preserve">OTRO 2</t>
  </si>
  <si>
    <t xml:space="preserve">46266OTRO 2TMCERVICALES0,5</t>
  </si>
  <si>
    <t xml:space="preserve">46282OTRO 1TMCLÁSICAS0,5</t>
  </si>
  <si>
    <t xml:space="preserve">MOLDES/PLACAS</t>
  </si>
  <si>
    <t xml:space="preserve">OPERARIOS</t>
  </si>
  <si>
    <t xml:space="preserve">TURNOS</t>
  </si>
  <si>
    <t xml:space="preserve">CONTROL</t>
  </si>
  <si>
    <t xml:space="preserve">HORARIO</t>
  </si>
  <si>
    <t xml:space="preserve">TT</t>
  </si>
  <si>
    <t xml:space="preserve">DESANTO R.</t>
  </si>
  <si>
    <t xml:space="preserve">LOPEZ  L.</t>
  </si>
  <si>
    <t xml:space="preserve">CLAS. BRASIL</t>
  </si>
  <si>
    <t xml:space="preserve">PESO POR UNIDAD</t>
  </si>
  <si>
    <t xml:space="preserve">PLACA N°1</t>
  </si>
  <si>
    <t xml:space="preserve">PLACA N°2</t>
  </si>
  <si>
    <t xml:space="preserve">PLACA N°3</t>
  </si>
  <si>
    <t xml:space="preserve">PROMEDIO</t>
  </si>
  <si>
    <t xml:space="preserve">INYECCIÓN PLACAS VISCO</t>
  </si>
  <si>
    <t xml:space="preserve">Actualizado:</t>
  </si>
  <si>
    <t xml:space="preserve">Programa</t>
  </si>
  <si>
    <t xml:space="preserve">Peso MIN</t>
  </si>
  <si>
    <t xml:space="preserve">Peso MAX</t>
  </si>
  <si>
    <t xml:space="preserve">Relación</t>
  </si>
  <si>
    <t xml:space="preserve">Clásica NEW</t>
  </si>
  <si>
    <t xml:space="preserve">Clásica</t>
  </si>
  <si>
    <t xml:space="preserve">Cervical RES</t>
  </si>
  <si>
    <t xml:space="preserve">Cervical ALU</t>
  </si>
  <si>
    <t xml:space="preserve">Clásica PROM</t>
  </si>
  <si>
    <t xml:space="preserve">Cervical PROM</t>
  </si>
</sst>
</file>

<file path=xl/styles.xml><?xml version="1.0" encoding="utf-8"?>
<styleSheet xmlns="http://schemas.openxmlformats.org/spreadsheetml/2006/main">
  <numFmts count="9">
    <numFmt numFmtId="164" formatCode="General"/>
    <numFmt numFmtId="165" formatCode="0"/>
    <numFmt numFmtId="166" formatCode="0.###"/>
    <numFmt numFmtId="167" formatCode="[$-F400]h:mm:ss\ AM/PM"/>
    <numFmt numFmtId="168" formatCode="mmmm"/>
    <numFmt numFmtId="169" formatCode="h:mm"/>
    <numFmt numFmtId="170" formatCode="m/d/yyyy"/>
    <numFmt numFmtId="171" formatCode="h:mm;@"/>
    <numFmt numFmtId="172" formatCode="0.000"/>
  </numFmts>
  <fonts count="27">
    <font>
      <sz val="11"/>
      <color theme="1"/>
      <name val="Aptos Narrow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22"/>
      <color rgb="FFFFFFFF"/>
      <name val="Arial"/>
      <family val="0"/>
      <charset val="1"/>
    </font>
    <font>
      <b val="true"/>
      <sz val="11"/>
      <name val="Arial"/>
      <family val="0"/>
      <charset val="1"/>
    </font>
    <font>
      <b val="true"/>
      <sz val="14"/>
      <color rgb="FF1F4E78"/>
      <name val="Arial"/>
      <family val="0"/>
      <charset val="1"/>
    </font>
    <font>
      <b val="true"/>
      <sz val="12"/>
      <name val="Arial"/>
      <family val="0"/>
      <charset val="1"/>
    </font>
    <font>
      <b val="true"/>
      <sz val="12"/>
      <color rgb="FFFFFFFF"/>
      <name val="Arial"/>
      <family val="0"/>
      <charset val="1"/>
    </font>
    <font>
      <b val="true"/>
      <sz val="9"/>
      <color rgb="FF1F4E78"/>
      <name val="Arial"/>
      <family val="0"/>
      <charset val="1"/>
    </font>
    <font>
      <b val="true"/>
      <sz val="13"/>
      <color rgb="FF000000"/>
      <name val="Arial"/>
      <family val="0"/>
      <charset val="1"/>
    </font>
    <font>
      <i val="true"/>
      <sz val="8"/>
      <color rgb="FF595959"/>
      <name val="Arial"/>
      <family val="0"/>
      <charset val="1"/>
    </font>
    <font>
      <b val="true"/>
      <sz val="18"/>
      <color rgb="FF000000"/>
      <name val="Aptos Narrow"/>
      <family val="2"/>
    </font>
    <font>
      <sz val="10"/>
      <color rgb="FF000000"/>
      <name val="Aptos Narrow"/>
      <family val="2"/>
    </font>
    <font>
      <b val="true"/>
      <sz val="10"/>
      <color rgb="FF000000"/>
      <name val="Aptos Narrow"/>
      <family val="2"/>
    </font>
    <font>
      <b val="true"/>
      <sz val="11"/>
      <color theme="1"/>
      <name val="Aptos Narrow"/>
      <family val="2"/>
      <charset val="1"/>
    </font>
    <font>
      <b val="true"/>
      <i val="true"/>
      <u val="single"/>
      <sz val="12"/>
      <color theme="1"/>
      <name val="Aptos Narrow"/>
      <family val="2"/>
      <charset val="1"/>
    </font>
    <font>
      <b val="true"/>
      <i val="true"/>
      <u val="single"/>
      <sz val="14"/>
      <color theme="1"/>
      <name val="Aptos Narrow"/>
      <family val="2"/>
      <charset val="1"/>
    </font>
    <font>
      <b val="true"/>
      <sz val="12"/>
      <color rgb="FF0000FF"/>
      <name val="Aptos Narrow"/>
      <family val="2"/>
      <charset val="1"/>
    </font>
    <font>
      <b val="true"/>
      <sz val="11"/>
      <color rgb="FF0000FF"/>
      <name val="Aptos Narrow"/>
      <family val="2"/>
      <charset val="1"/>
    </font>
    <font>
      <b val="true"/>
      <sz val="9"/>
      <name val="Aptos Narrow"/>
      <family val="2"/>
      <charset val="1"/>
    </font>
    <font>
      <sz val="9"/>
      <color theme="1"/>
      <name val="Aptos Narrow"/>
      <family val="2"/>
      <charset val="1"/>
    </font>
    <font>
      <b val="true"/>
      <sz val="10"/>
      <color theme="1"/>
      <name val="Aptos Narrow"/>
      <family val="2"/>
      <charset val="1"/>
    </font>
    <font>
      <sz val="10"/>
      <name val="Arial"/>
      <family val="2"/>
    </font>
    <font>
      <sz val="12"/>
      <color rgb="FF000000"/>
      <name val="Aptos"/>
      <family val="2"/>
      <charset val="1"/>
    </font>
    <font>
      <b val="true"/>
      <sz val="11"/>
      <color rgb="FFFF0000"/>
      <name val="Aptos Narrow"/>
      <family val="2"/>
      <charset val="1"/>
    </font>
    <font>
      <sz val="11"/>
      <color rgb="FFFF0000"/>
      <name val="Aptos Narrow"/>
      <family val="2"/>
      <charset val="1"/>
    </font>
  </fonts>
  <fills count="21">
    <fill>
      <patternFill patternType="none"/>
    </fill>
    <fill>
      <patternFill patternType="gray125"/>
    </fill>
    <fill>
      <patternFill patternType="solid">
        <fgColor rgb="FF1F4E78"/>
        <bgColor rgb="FF003366"/>
      </patternFill>
    </fill>
    <fill>
      <patternFill patternType="solid">
        <fgColor rgb="FFFFF2CC"/>
        <bgColor rgb="FFFFEB9C"/>
      </patternFill>
    </fill>
    <fill>
      <patternFill patternType="solid">
        <fgColor rgb="FFD9E2F3"/>
        <bgColor rgb="FFD9D9D9"/>
      </patternFill>
    </fill>
    <fill>
      <patternFill patternType="solid">
        <fgColor theme="4" tint="0.7999"/>
        <bgColor rgb="FFCAEDFB"/>
      </patternFill>
    </fill>
    <fill>
      <patternFill patternType="solid">
        <fgColor rgb="FFFF0000"/>
        <bgColor rgb="FFC00000"/>
      </patternFill>
    </fill>
    <fill>
      <patternFill patternType="solid">
        <fgColor rgb="FFFFC000"/>
        <bgColor rgb="FFFFFF00"/>
      </patternFill>
    </fill>
    <fill>
      <patternFill patternType="solid">
        <fgColor theme="8" tint="0.7999"/>
        <bgColor rgb="FFFFC7CE"/>
      </patternFill>
    </fill>
    <fill>
      <patternFill patternType="solid">
        <fgColor theme="7" tint="0.7999"/>
        <bgColor rgb="FFCAEDFB"/>
      </patternFill>
    </fill>
    <fill>
      <patternFill patternType="solid">
        <fgColor rgb="FFFFFF00"/>
        <bgColor rgb="FFFFC000"/>
      </patternFill>
    </fill>
    <fill>
      <patternFill patternType="solid">
        <fgColor theme="2" tint="-0.25"/>
        <bgColor rgb="FFD1D1D1"/>
      </patternFill>
    </fill>
    <fill>
      <patternFill patternType="solid">
        <fgColor rgb="FF00FF00"/>
        <bgColor rgb="FF47D45A"/>
      </patternFill>
    </fill>
    <fill>
      <patternFill patternType="solid">
        <fgColor theme="0" tint="-0.15"/>
        <bgColor rgb="FFD1D1D1"/>
      </patternFill>
    </fill>
    <fill>
      <patternFill patternType="solid">
        <fgColor theme="2" tint="-0.1"/>
        <bgColor rgb="FFD9D9D9"/>
      </patternFill>
    </fill>
    <fill>
      <patternFill patternType="solid">
        <fgColor rgb="FFF7C7AC"/>
        <bgColor rgb="FFF6C6AD"/>
      </patternFill>
    </fill>
    <fill>
      <patternFill patternType="solid">
        <fgColor rgb="FFCAEDFB"/>
        <bgColor rgb="FFCAEEFB"/>
      </patternFill>
    </fill>
    <fill>
      <patternFill patternType="solid">
        <fgColor theme="4" tint="0.5999"/>
        <bgColor rgb="FF96DCF8"/>
      </patternFill>
    </fill>
    <fill>
      <patternFill patternType="solid">
        <fgColor theme="7" tint="0.5999"/>
        <bgColor rgb="FF83CBEB"/>
      </patternFill>
    </fill>
    <fill>
      <patternFill patternType="solid">
        <fgColor theme="5" tint="0.5999"/>
        <bgColor rgb="FFF7C7AC"/>
      </patternFill>
    </fill>
    <fill>
      <patternFill patternType="solid">
        <fgColor theme="6" tint="0.3999"/>
        <bgColor rgb="FF83CBEB"/>
      </patternFill>
    </fill>
  </fills>
  <borders count="31">
    <border diagonalUp="false" diagonalDown="false">
      <left/>
      <right/>
      <top/>
      <bottom/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 diagonalUp="false" diagonalDown="false">
      <left style="medium">
        <color rgb="FF1F4E78"/>
      </left>
      <right style="thin">
        <color rgb="FF808080"/>
      </right>
      <top style="medium">
        <color rgb="FF1F4E78"/>
      </top>
      <bottom style="thin">
        <color rgb="FF808080"/>
      </bottom>
      <diagonal/>
    </border>
    <border diagonalUp="false" diagonalDown="false">
      <left style="medium">
        <color rgb="FF1F4E78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 diagonalUp="false" diagonalDown="false">
      <left style="medium">
        <color rgb="FF1F4E78"/>
      </left>
      <right style="thin">
        <color rgb="FF808080"/>
      </right>
      <top style="thin">
        <color rgb="FF808080"/>
      </top>
      <bottom style="medium">
        <color rgb="FF1F4E78"/>
      </bottom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/>
      <right/>
      <top/>
      <bottom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2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6" fillId="3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2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4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4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10" fillId="0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10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0" borderId="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7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6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0" fillId="0" borderId="6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7" xfId="0" applyFont="fals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6" fillId="0" borderId="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9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1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5" fillId="0" borderId="1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5" fillId="0" borderId="12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5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5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5" fillId="0" borderId="1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5" fillId="0" borderId="1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1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5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5" fillId="0" borderId="1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7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7" fontId="17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8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5" borderId="19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6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7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9" fontId="0" fillId="0" borderId="0" xfId="0" applyFont="fals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5" fillId="0" borderId="1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7" fontId="15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12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15" fillId="0" borderId="2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5" fillId="0" borderId="2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5" fillId="0" borderId="2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5" fillId="0" borderId="2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5" fillId="8" borderId="2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12" xfId="0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true" indent="0" shrinkToFit="false"/>
      <protection locked="true" hidden="false"/>
    </xf>
    <xf numFmtId="170" fontId="18" fillId="5" borderId="2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8" fillId="5" borderId="2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9" fillId="5" borderId="2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1" fontId="18" fillId="5" borderId="2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18" fillId="5" borderId="2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0" fillId="0" borderId="24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9" borderId="25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0" borderId="0" xfId="0" applyFont="fals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5" fillId="10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4" fontId="0" fillId="11" borderId="0" xfId="0" applyFont="false" applyBorder="false" applyAlignment="true" applyProtection="true">
      <alignment horizontal="left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left" vertical="center" textRotation="0" wrapText="false" indent="0" shrinkToFit="false"/>
      <protection locked="true" hidden="false"/>
    </xf>
    <xf numFmtId="170" fontId="0" fillId="0" borderId="0" xfId="0" applyFont="false" applyBorder="false" applyAlignment="true" applyProtection="true">
      <alignment horizontal="left" vertical="center" textRotation="0" wrapText="true" indent="0" shrinkToFit="false"/>
      <protection locked="true" hidden="false"/>
    </xf>
    <xf numFmtId="171" fontId="0" fillId="0" borderId="0" xfId="0" applyFont="false" applyBorder="false" applyAlignment="true" applyProtection="true">
      <alignment horizontal="left" vertical="center" textRotation="0" wrapText="false" indent="0" shrinkToFit="false"/>
      <protection locked="true" hidden="false"/>
    </xf>
    <xf numFmtId="165" fontId="0" fillId="10" borderId="0" xfId="0" applyFont="fals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5" fillId="0" borderId="18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20" fillId="0" borderId="2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8" fillId="5" borderId="25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0" fillId="12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5" fillId="0" borderId="2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7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0" fillId="0" borderId="27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8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1" fillId="5" borderId="28" xfId="0" applyFont="true" applyBorder="true" applyAlignment="true" applyProtection="true">
      <alignment horizontal="left" vertical="top" textRotation="0" wrapText="false" indent="0" shrinkToFit="false"/>
      <protection locked="false" hidden="false"/>
    </xf>
    <xf numFmtId="164" fontId="22" fillId="0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2" fillId="0" borderId="18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0" borderId="1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9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29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29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30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70" fontId="0" fillId="0" borderId="0" xfId="0" applyFont="false" applyBorder="fals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center" textRotation="0" wrapText="true" indent="0" shrinkToFit="false"/>
      <protection locked="true" hidden="false"/>
    </xf>
    <xf numFmtId="164" fontId="15" fillId="0" borderId="2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0" fontId="15" fillId="0" borderId="2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5" fillId="0" borderId="2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5" fillId="0" borderId="2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9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1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9" fontId="0" fillId="5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9" fontId="0" fillId="14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4" fillId="0" borderId="2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4" fillId="0" borderId="1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4" fillId="0" borderId="3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4" fillId="15" borderId="3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25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24" fillId="16" borderId="1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24" fillId="0" borderId="3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24" fillId="15" borderId="3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26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26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1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1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0" fillId="1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17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18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0" fillId="18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72" fontId="0" fillId="18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19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0" fillId="19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2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0" fillId="2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6" fillId="3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0">
    <dxf>
      <font>
        <name val="Arial"/>
        <charset val="1"/>
        <family val="0"/>
        <b val="1"/>
        <color rgb="FFFFFFFF"/>
      </font>
      <fill>
        <patternFill>
          <bgColor rgb="FFC00000"/>
        </patternFill>
      </fill>
    </dxf>
    <dxf>
      <font>
        <name val="Arial"/>
        <charset val="1"/>
        <family val="0"/>
        <b val="1"/>
        <color rgb="FF9C0006"/>
      </font>
      <fill>
        <patternFill>
          <bgColor rgb="FFFFC7CE"/>
        </patternFill>
      </fill>
    </dxf>
    <dxf>
      <font>
        <name val="Arial"/>
        <charset val="1"/>
        <family val="0"/>
        <b val="1"/>
        <color rgb="FF9C6500"/>
      </font>
      <fill>
        <patternFill>
          <bgColor rgb="FFFFEB9C"/>
        </patternFill>
      </fill>
    </dxf>
    <dxf>
      <font>
        <name val="Arial"/>
        <charset val="1"/>
        <family val="0"/>
        <b val="1"/>
        <color rgb="FF006100"/>
      </font>
      <fill>
        <patternFill>
          <bgColor rgb="FFC6EFCE"/>
        </patternFill>
      </fill>
    </dxf>
    <dxf>
      <font>
        <b val="1"/>
      </font>
      <fill>
        <patternFill>
          <bgColor rgb="FF00FF00"/>
        </patternFill>
      </fill>
    </dxf>
    <dxf>
      <fill>
        <patternFill>
          <bgColor theme="4" tint="0.7999"/>
        </patternFill>
      </fill>
    </dxf>
    <dxf>
      <font>
        <b val="1"/>
      </font>
      <fill>
        <patternFill>
          <bgColor rgb="FFFFC000"/>
        </patternFill>
      </fill>
    </dxf>
    <dxf>
      <font>
        <b val="1"/>
        <color rgb="FFFFFFFF"/>
      </font>
      <fill>
        <patternFill>
          <bgColor rgb="FFFF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9C6500"/>
      <rgbColor rgb="FF800080"/>
      <rgbColor rgb="FF008080"/>
      <rgbColor rgb="FFAEAEAE"/>
      <rgbColor rgb="FF808080"/>
      <rgbColor rgb="FF83CBEB"/>
      <rgbColor rgb="FF993366"/>
      <rgbColor rgb="FFFFF2CC"/>
      <rgbColor rgb="FFCAEEFB"/>
      <rgbColor rgb="FF660066"/>
      <rgbColor rgb="FFF6C6AD"/>
      <rgbColor rgb="FF0066CC"/>
      <rgbColor rgb="FFD1D1D1"/>
      <rgbColor rgb="FF000080"/>
      <rgbColor rgb="FFFF00FF"/>
      <rgbColor rgb="FFD9D9D9"/>
      <rgbColor rgb="FF00FFFF"/>
      <rgbColor rgb="FF800080"/>
      <rgbColor rgb="FFC00000"/>
      <rgbColor rgb="FF008080"/>
      <rgbColor rgb="FF0000FF"/>
      <rgbColor rgb="FF00CCFF"/>
      <rgbColor rgb="FFCAEDFB"/>
      <rgbColor rgb="FFC6EFCE"/>
      <rgbColor rgb="FFFFEB9C"/>
      <rgbColor rgb="FF96DCF8"/>
      <rgbColor rgb="FFE59EDD"/>
      <rgbColor rgb="FFF2CFEE"/>
      <rgbColor rgb="FFF7C7AC"/>
      <rgbColor rgb="FF3366FF"/>
      <rgbColor rgb="FF47D45A"/>
      <rgbColor rgb="FFC1E5F5"/>
      <rgbColor rgb="FFFFC000"/>
      <rgbColor rgb="FFFFC7CE"/>
      <rgbColor rgb="FFFF6600"/>
      <rgbColor rgb="FF595959"/>
      <rgbColor rgb="FF8B8B8B"/>
      <rgbColor rgb="FF003366"/>
      <rgbColor rgb="FFD9E2F3"/>
      <rgbColor rgb="FF003300"/>
      <rgbColor rgb="FF333300"/>
      <rgbColor rgb="FF993300"/>
      <rgbColor rgb="FF993366"/>
      <rgbColor rgb="FF1F4E78"/>
      <rgbColor rgb="FF37562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000000"/>
                </a:solidFill>
                <a:latin typeface="Aptos Narrow"/>
              </a:defRPr>
            </a:pPr>
            <a:r>
              <a:rPr b="1" sz="1800" spc="-1" strike="noStrike">
                <a:solidFill>
                  <a:srgbClr val="000000"/>
                </a:solidFill>
                <a:latin typeface="Aptos Narrow"/>
              </a:rPr>
              <a:t>Control de Peso (gr) por Registro - Cp / Cpk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tx>
            <c:strRef>
              <c:f>GRÁFICO!AB1</c:f>
              <c:strCache>
                <c:ptCount val="1"/>
                <c:pt idx="0">
                  <c:v>Peso (gr)</c:v>
                </c:pt>
              </c:strCache>
            </c:strRef>
          </c:tx>
          <c:spPr>
            <a:solidFill>
              <a:srgbClr val="1f4e78"/>
            </a:solidFill>
            <a:ln w="15120">
              <a:solidFill>
                <a:srgbClr val="1f4e78"/>
              </a:solidFill>
              <a:round/>
            </a:ln>
          </c:spPr>
          <c:marker>
            <c:symbol val="circle"/>
            <c:size val="5"/>
            <c:spPr>
              <a:solidFill>
                <a:srgbClr val="1f4e78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GRÁFICO!Graf_N</c:f>
              <c:strCache>
                <c:ptCount val="50"/>
                <c:pt idx="0">
                  <c:v>M 1</c:v>
                </c:pt>
                <c:pt idx="1">
                  <c:v>M 2</c:v>
                </c:pt>
                <c:pt idx="2">
                  <c:v>M 3</c:v>
                </c:pt>
                <c:pt idx="3">
                  <c:v>M 4</c:v>
                </c:pt>
                <c:pt idx="4">
                  <c:v>M 5</c:v>
                </c:pt>
                <c:pt idx="5">
                  <c:v>M 6</c:v>
                </c:pt>
                <c:pt idx="6">
                  <c:v>M 7</c:v>
                </c:pt>
                <c:pt idx="7">
                  <c:v>M 8</c:v>
                </c:pt>
                <c:pt idx="8">
                  <c:v>M 9</c:v>
                </c:pt>
                <c:pt idx="9">
                  <c:v>M 10</c:v>
                </c:pt>
                <c:pt idx="10">
                  <c:v>M 11</c:v>
                </c:pt>
                <c:pt idx="11">
                  <c:v>M 12</c:v>
                </c:pt>
                <c:pt idx="12">
                  <c:v>M 13</c:v>
                </c:pt>
                <c:pt idx="13">
                  <c:v>M 14</c:v>
                </c:pt>
                <c:pt idx="14">
                  <c:v>M 15</c:v>
                </c:pt>
                <c:pt idx="15">
                  <c:v>M 16</c:v>
                </c:pt>
                <c:pt idx="16">
                  <c:v>M 17</c:v>
                </c:pt>
                <c:pt idx="17">
                  <c:v>M 18</c:v>
                </c:pt>
                <c:pt idx="18">
                  <c:v>M 19</c:v>
                </c:pt>
                <c:pt idx="19">
                  <c:v>M 20</c:v>
                </c:pt>
                <c:pt idx="20">
                  <c:v>M 21</c:v>
                </c:pt>
                <c:pt idx="21">
                  <c:v>M 22</c:v>
                </c:pt>
                <c:pt idx="22">
                  <c:v>M 23</c:v>
                </c:pt>
                <c:pt idx="23">
                  <c:v>M 24</c:v>
                </c:pt>
                <c:pt idx="24">
                  <c:v>M 25</c:v>
                </c:pt>
                <c:pt idx="25">
                  <c:v>M 26</c:v>
                </c:pt>
                <c:pt idx="26">
                  <c:v>M 27</c:v>
                </c:pt>
                <c:pt idx="27">
                  <c:v>M 28</c:v>
                </c:pt>
                <c:pt idx="28">
                  <c:v>M 29</c:v>
                </c:pt>
                <c:pt idx="29">
                  <c:v>M 30</c:v>
                </c:pt>
                <c:pt idx="30">
                  <c:v>M 31</c:v>
                </c:pt>
                <c:pt idx="31">
                  <c:v>M 32</c:v>
                </c:pt>
                <c:pt idx="32">
                  <c:v>M 33</c:v>
                </c:pt>
                <c:pt idx="33">
                  <c:v>M 34</c:v>
                </c:pt>
                <c:pt idx="34">
                  <c:v>M 35</c:v>
                </c:pt>
                <c:pt idx="35">
                  <c:v>M 36</c:v>
                </c:pt>
                <c:pt idx="36">
                  <c:v>M 37</c:v>
                </c:pt>
                <c:pt idx="37">
                  <c:v>M 38</c:v>
                </c:pt>
                <c:pt idx="38">
                  <c:v>M 39</c:v>
                </c:pt>
                <c:pt idx="39">
                  <c:v>M 40</c:v>
                </c:pt>
                <c:pt idx="40">
                  <c:v>M 41</c:v>
                </c:pt>
                <c:pt idx="41">
                  <c:v>M 42</c:v>
                </c:pt>
                <c:pt idx="42">
                  <c:v>M 43</c:v>
                </c:pt>
                <c:pt idx="43">
                  <c:v>M 44</c:v>
                </c:pt>
                <c:pt idx="44">
                  <c:v>M 45</c:v>
                </c:pt>
                <c:pt idx="45">
                  <c:v>M 46</c:v>
                </c:pt>
                <c:pt idx="46">
                  <c:v>M 47</c:v>
                </c:pt>
                <c:pt idx="47">
                  <c:v>M 48</c:v>
                </c:pt>
                <c:pt idx="48">
                  <c:v>M 49</c:v>
                </c:pt>
                <c:pt idx="49">
                  <c:v>M 50</c:v>
                </c:pt>
              </c:strCache>
            </c:strRef>
          </c:cat>
          <c:val>
            <c:numRef>
              <c:f>GRÁFICO!Graf_Peso</c:f>
              <c:numCache>
                <c:formatCode>General</c:formatCode>
                <c:ptCount val="50"/>
                <c:pt idx="0">
                  <c:v>890</c:v>
                </c:pt>
                <c:pt idx="1">
                  <c:v>900</c:v>
                </c:pt>
                <c:pt idx="2">
                  <c:v>900</c:v>
                </c:pt>
                <c:pt idx="3">
                  <c:v>900</c:v>
                </c:pt>
                <c:pt idx="4">
                  <c:v>900</c:v>
                </c:pt>
                <c:pt idx="5">
                  <c:v>900</c:v>
                </c:pt>
                <c:pt idx="6">
                  <c:v>900</c:v>
                </c:pt>
                <c:pt idx="7">
                  <c:v>900</c:v>
                </c:pt>
                <c:pt idx="8">
                  <c:v>900</c:v>
                </c:pt>
                <c:pt idx="9">
                  <c:v>950</c:v>
                </c:pt>
                <c:pt idx="10">
                  <c:v>970</c:v>
                </c:pt>
                <c:pt idx="11">
                  <c:v>970</c:v>
                </c:pt>
                <c:pt idx="12">
                  <c:v>970</c:v>
                </c:pt>
                <c:pt idx="13">
                  <c:v>970</c:v>
                </c:pt>
                <c:pt idx="14">
                  <c:v>970</c:v>
                </c:pt>
                <c:pt idx="15">
                  <c:v>970</c:v>
                </c:pt>
                <c:pt idx="16">
                  <c:v>970</c:v>
                </c:pt>
                <c:pt idx="17">
                  <c:v>970</c:v>
                </c:pt>
                <c:pt idx="18">
                  <c:v>970</c:v>
                </c:pt>
                <c:pt idx="19">
                  <c:v>970</c:v>
                </c:pt>
                <c:pt idx="20">
                  <c:v>970</c:v>
                </c:pt>
                <c:pt idx="21">
                  <c:v>970</c:v>
                </c:pt>
                <c:pt idx="22">
                  <c:v>965</c:v>
                </c:pt>
                <c:pt idx="23">
                  <c:v>965</c:v>
                </c:pt>
                <c:pt idx="24">
                  <c:v>970</c:v>
                </c:pt>
                <c:pt idx="25">
                  <c:v>970</c:v>
                </c:pt>
                <c:pt idx="26">
                  <c:v>970</c:v>
                </c:pt>
                <c:pt idx="27">
                  <c:v>970</c:v>
                </c:pt>
                <c:pt idx="28">
                  <c:v>970</c:v>
                </c:pt>
                <c:pt idx="29">
                  <c:v>970</c:v>
                </c:pt>
                <c:pt idx="30">
                  <c:v>980</c:v>
                </c:pt>
                <c:pt idx="31">
                  <c:v>935</c:v>
                </c:pt>
                <c:pt idx="32">
                  <c:v>935</c:v>
                </c:pt>
                <c:pt idx="33">
                  <c:v>935</c:v>
                </c:pt>
                <c:pt idx="34">
                  <c:v>940</c:v>
                </c:pt>
                <c:pt idx="35">
                  <c:v>940</c:v>
                </c:pt>
                <c:pt idx="36">
                  <c:v>960</c:v>
                </c:pt>
                <c:pt idx="37">
                  <c:v>960</c:v>
                </c:pt>
                <c:pt idx="38">
                  <c:v>935</c:v>
                </c:pt>
                <c:pt idx="39">
                  <c:v>935</c:v>
                </c:pt>
                <c:pt idx="40">
                  <c:v>955</c:v>
                </c:pt>
                <c:pt idx="41">
                  <c:v>955</c:v>
                </c:pt>
                <c:pt idx="42">
                  <c:v>955</c:v>
                </c:pt>
                <c:pt idx="43">
                  <c:v>955</c:v>
                </c:pt>
                <c:pt idx="44">
                  <c:v>960</c:v>
                </c:pt>
                <c:pt idx="45">
                  <c:v>960</c:v>
                </c:pt>
                <c:pt idx="46">
                  <c:v>960</c:v>
                </c:pt>
                <c:pt idx="47">
                  <c:v>965</c:v>
                </c:pt>
                <c:pt idx="48">
                  <c:v>960</c:v>
                </c:pt>
                <c:pt idx="49">
                  <c:v>950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GRÁFICO!AC1</c:f>
              <c:strCache>
                <c:ptCount val="1"/>
                <c:pt idx="0">
                  <c:v>LCS</c:v>
                </c:pt>
              </c:strCache>
            </c:strRef>
          </c:tx>
          <c:spPr>
            <a:solidFill>
              <a:srgbClr val="c00000"/>
            </a:solidFill>
            <a:ln w="18000">
              <a:solidFill>
                <a:srgbClr val="c00000"/>
              </a:solidFill>
              <a:prstDash val="dash"/>
              <a:round/>
            </a:ln>
          </c:spPr>
          <c:marker>
            <c:symbol val="none"/>
          </c:marker>
          <c:dLbls>
            <c:txPr>
              <a:bodyPr wrap="non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GRÁFICO!Graf_N</c:f>
              <c:strCache>
                <c:ptCount val="50"/>
                <c:pt idx="0">
                  <c:v>M 1</c:v>
                </c:pt>
                <c:pt idx="1">
                  <c:v>M 2</c:v>
                </c:pt>
                <c:pt idx="2">
                  <c:v>M 3</c:v>
                </c:pt>
                <c:pt idx="3">
                  <c:v>M 4</c:v>
                </c:pt>
                <c:pt idx="4">
                  <c:v>M 5</c:v>
                </c:pt>
                <c:pt idx="5">
                  <c:v>M 6</c:v>
                </c:pt>
                <c:pt idx="6">
                  <c:v>M 7</c:v>
                </c:pt>
                <c:pt idx="7">
                  <c:v>M 8</c:v>
                </c:pt>
                <c:pt idx="8">
                  <c:v>M 9</c:v>
                </c:pt>
                <c:pt idx="9">
                  <c:v>M 10</c:v>
                </c:pt>
                <c:pt idx="10">
                  <c:v>M 11</c:v>
                </c:pt>
                <c:pt idx="11">
                  <c:v>M 12</c:v>
                </c:pt>
                <c:pt idx="12">
                  <c:v>M 13</c:v>
                </c:pt>
                <c:pt idx="13">
                  <c:v>M 14</c:v>
                </c:pt>
                <c:pt idx="14">
                  <c:v>M 15</c:v>
                </c:pt>
                <c:pt idx="15">
                  <c:v>M 16</c:v>
                </c:pt>
                <c:pt idx="16">
                  <c:v>M 17</c:v>
                </c:pt>
                <c:pt idx="17">
                  <c:v>M 18</c:v>
                </c:pt>
                <c:pt idx="18">
                  <c:v>M 19</c:v>
                </c:pt>
                <c:pt idx="19">
                  <c:v>M 20</c:v>
                </c:pt>
                <c:pt idx="20">
                  <c:v>M 21</c:v>
                </c:pt>
                <c:pt idx="21">
                  <c:v>M 22</c:v>
                </c:pt>
                <c:pt idx="22">
                  <c:v>M 23</c:v>
                </c:pt>
                <c:pt idx="23">
                  <c:v>M 24</c:v>
                </c:pt>
                <c:pt idx="24">
                  <c:v>M 25</c:v>
                </c:pt>
                <c:pt idx="25">
                  <c:v>M 26</c:v>
                </c:pt>
                <c:pt idx="26">
                  <c:v>M 27</c:v>
                </c:pt>
                <c:pt idx="27">
                  <c:v>M 28</c:v>
                </c:pt>
                <c:pt idx="28">
                  <c:v>M 29</c:v>
                </c:pt>
                <c:pt idx="29">
                  <c:v>M 30</c:v>
                </c:pt>
                <c:pt idx="30">
                  <c:v>M 31</c:v>
                </c:pt>
                <c:pt idx="31">
                  <c:v>M 32</c:v>
                </c:pt>
                <c:pt idx="32">
                  <c:v>M 33</c:v>
                </c:pt>
                <c:pt idx="33">
                  <c:v>M 34</c:v>
                </c:pt>
                <c:pt idx="34">
                  <c:v>M 35</c:v>
                </c:pt>
                <c:pt idx="35">
                  <c:v>M 36</c:v>
                </c:pt>
                <c:pt idx="36">
                  <c:v>M 37</c:v>
                </c:pt>
                <c:pt idx="37">
                  <c:v>M 38</c:v>
                </c:pt>
                <c:pt idx="38">
                  <c:v>M 39</c:v>
                </c:pt>
                <c:pt idx="39">
                  <c:v>M 40</c:v>
                </c:pt>
                <c:pt idx="40">
                  <c:v>M 41</c:v>
                </c:pt>
                <c:pt idx="41">
                  <c:v>M 42</c:v>
                </c:pt>
                <c:pt idx="42">
                  <c:v>M 43</c:v>
                </c:pt>
                <c:pt idx="43">
                  <c:v>M 44</c:v>
                </c:pt>
                <c:pt idx="44">
                  <c:v>M 45</c:v>
                </c:pt>
                <c:pt idx="45">
                  <c:v>M 46</c:v>
                </c:pt>
                <c:pt idx="46">
                  <c:v>M 47</c:v>
                </c:pt>
                <c:pt idx="47">
                  <c:v>M 48</c:v>
                </c:pt>
                <c:pt idx="48">
                  <c:v>M 49</c:v>
                </c:pt>
                <c:pt idx="49">
                  <c:v>M 50</c:v>
                </c:pt>
              </c:strCache>
            </c:strRef>
          </c:cat>
          <c:val>
            <c:numRef>
              <c:f>GRÁFICO!Graf_LCS</c:f>
              <c:numCache>
                <c:formatCode>General</c:formatCode>
                <c:ptCount val="50"/>
                <c:pt idx="0">
                  <c:v>1038.24</c:v>
                </c:pt>
                <c:pt idx="1">
                  <c:v>1038.24</c:v>
                </c:pt>
                <c:pt idx="2">
                  <c:v>1038.24</c:v>
                </c:pt>
                <c:pt idx="3">
                  <c:v>1038.24</c:v>
                </c:pt>
                <c:pt idx="4">
                  <c:v>1038.24</c:v>
                </c:pt>
                <c:pt idx="5">
                  <c:v>1038.24</c:v>
                </c:pt>
                <c:pt idx="6">
                  <c:v>1038.24</c:v>
                </c:pt>
                <c:pt idx="7">
                  <c:v>1038.24</c:v>
                </c:pt>
                <c:pt idx="8">
                  <c:v>1038.24</c:v>
                </c:pt>
                <c:pt idx="9">
                  <c:v>1038.24</c:v>
                </c:pt>
                <c:pt idx="10">
                  <c:v>1038.24</c:v>
                </c:pt>
                <c:pt idx="11">
                  <c:v>1038.24</c:v>
                </c:pt>
                <c:pt idx="12">
                  <c:v>1038.24</c:v>
                </c:pt>
                <c:pt idx="13">
                  <c:v>1038.24</c:v>
                </c:pt>
                <c:pt idx="14">
                  <c:v>1038.24</c:v>
                </c:pt>
                <c:pt idx="15">
                  <c:v>1038.24</c:v>
                </c:pt>
                <c:pt idx="16">
                  <c:v>1038.24</c:v>
                </c:pt>
                <c:pt idx="17">
                  <c:v>1038.24</c:v>
                </c:pt>
                <c:pt idx="18">
                  <c:v>1038.24</c:v>
                </c:pt>
                <c:pt idx="19">
                  <c:v>1038.24</c:v>
                </c:pt>
                <c:pt idx="20">
                  <c:v>1038.24</c:v>
                </c:pt>
                <c:pt idx="21">
                  <c:v>1038.24</c:v>
                </c:pt>
                <c:pt idx="22">
                  <c:v>1038.24</c:v>
                </c:pt>
                <c:pt idx="23">
                  <c:v>1038.24</c:v>
                </c:pt>
                <c:pt idx="24">
                  <c:v>1038.24</c:v>
                </c:pt>
                <c:pt idx="25">
                  <c:v>1038.24</c:v>
                </c:pt>
                <c:pt idx="26">
                  <c:v>1038.24</c:v>
                </c:pt>
                <c:pt idx="27">
                  <c:v>1038.24</c:v>
                </c:pt>
                <c:pt idx="28">
                  <c:v>1038.24</c:v>
                </c:pt>
                <c:pt idx="29">
                  <c:v>1038.24</c:v>
                </c:pt>
                <c:pt idx="30">
                  <c:v>1038.24</c:v>
                </c:pt>
                <c:pt idx="31">
                  <c:v>1038.24</c:v>
                </c:pt>
                <c:pt idx="32">
                  <c:v>1038.24</c:v>
                </c:pt>
                <c:pt idx="33">
                  <c:v>1038.24</c:v>
                </c:pt>
                <c:pt idx="34">
                  <c:v>1038.24</c:v>
                </c:pt>
                <c:pt idx="35">
                  <c:v>1038.24</c:v>
                </c:pt>
                <c:pt idx="36">
                  <c:v>1038.24</c:v>
                </c:pt>
                <c:pt idx="37">
                  <c:v>1038.24</c:v>
                </c:pt>
                <c:pt idx="38">
                  <c:v>1038.24</c:v>
                </c:pt>
                <c:pt idx="39">
                  <c:v>1038.24</c:v>
                </c:pt>
                <c:pt idx="40">
                  <c:v>1038.24</c:v>
                </c:pt>
                <c:pt idx="41">
                  <c:v>1038.24</c:v>
                </c:pt>
                <c:pt idx="42">
                  <c:v>1038.24</c:v>
                </c:pt>
                <c:pt idx="43">
                  <c:v>1038.24</c:v>
                </c:pt>
                <c:pt idx="44">
                  <c:v>1038.24</c:v>
                </c:pt>
                <c:pt idx="45">
                  <c:v>1038.24</c:v>
                </c:pt>
                <c:pt idx="46">
                  <c:v>1038.24</c:v>
                </c:pt>
                <c:pt idx="47">
                  <c:v>1038.24</c:v>
                </c:pt>
                <c:pt idx="48">
                  <c:v>1038.24</c:v>
                </c:pt>
                <c:pt idx="49">
                  <c:v>1038.24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GRÁFICO!AD1</c:f>
              <c:strCache>
                <c:ptCount val="1"/>
                <c:pt idx="0">
                  <c:v>LCI</c:v>
                </c:pt>
              </c:strCache>
            </c:strRef>
          </c:tx>
          <c:spPr>
            <a:solidFill>
              <a:srgbClr val="c00000"/>
            </a:solidFill>
            <a:ln w="18000">
              <a:solidFill>
                <a:srgbClr val="c00000"/>
              </a:solidFill>
              <a:prstDash val="dash"/>
              <a:round/>
            </a:ln>
          </c:spPr>
          <c:marker>
            <c:symbol val="none"/>
          </c:marker>
          <c:dLbls>
            <c:txPr>
              <a:bodyPr wrap="non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GRÁFICO!Graf_N</c:f>
              <c:strCache>
                <c:ptCount val="50"/>
                <c:pt idx="0">
                  <c:v>M 1</c:v>
                </c:pt>
                <c:pt idx="1">
                  <c:v>M 2</c:v>
                </c:pt>
                <c:pt idx="2">
                  <c:v>M 3</c:v>
                </c:pt>
                <c:pt idx="3">
                  <c:v>M 4</c:v>
                </c:pt>
                <c:pt idx="4">
                  <c:v>M 5</c:v>
                </c:pt>
                <c:pt idx="5">
                  <c:v>M 6</c:v>
                </c:pt>
                <c:pt idx="6">
                  <c:v>M 7</c:v>
                </c:pt>
                <c:pt idx="7">
                  <c:v>M 8</c:v>
                </c:pt>
                <c:pt idx="8">
                  <c:v>M 9</c:v>
                </c:pt>
                <c:pt idx="9">
                  <c:v>M 10</c:v>
                </c:pt>
                <c:pt idx="10">
                  <c:v>M 11</c:v>
                </c:pt>
                <c:pt idx="11">
                  <c:v>M 12</c:v>
                </c:pt>
                <c:pt idx="12">
                  <c:v>M 13</c:v>
                </c:pt>
                <c:pt idx="13">
                  <c:v>M 14</c:v>
                </c:pt>
                <c:pt idx="14">
                  <c:v>M 15</c:v>
                </c:pt>
                <c:pt idx="15">
                  <c:v>M 16</c:v>
                </c:pt>
                <c:pt idx="16">
                  <c:v>M 17</c:v>
                </c:pt>
                <c:pt idx="17">
                  <c:v>M 18</c:v>
                </c:pt>
                <c:pt idx="18">
                  <c:v>M 19</c:v>
                </c:pt>
                <c:pt idx="19">
                  <c:v>M 20</c:v>
                </c:pt>
                <c:pt idx="20">
                  <c:v>M 21</c:v>
                </c:pt>
                <c:pt idx="21">
                  <c:v>M 22</c:v>
                </c:pt>
                <c:pt idx="22">
                  <c:v>M 23</c:v>
                </c:pt>
                <c:pt idx="23">
                  <c:v>M 24</c:v>
                </c:pt>
                <c:pt idx="24">
                  <c:v>M 25</c:v>
                </c:pt>
                <c:pt idx="25">
                  <c:v>M 26</c:v>
                </c:pt>
                <c:pt idx="26">
                  <c:v>M 27</c:v>
                </c:pt>
                <c:pt idx="27">
                  <c:v>M 28</c:v>
                </c:pt>
                <c:pt idx="28">
                  <c:v>M 29</c:v>
                </c:pt>
                <c:pt idx="29">
                  <c:v>M 30</c:v>
                </c:pt>
                <c:pt idx="30">
                  <c:v>M 31</c:v>
                </c:pt>
                <c:pt idx="31">
                  <c:v>M 32</c:v>
                </c:pt>
                <c:pt idx="32">
                  <c:v>M 33</c:v>
                </c:pt>
                <c:pt idx="33">
                  <c:v>M 34</c:v>
                </c:pt>
                <c:pt idx="34">
                  <c:v>M 35</c:v>
                </c:pt>
                <c:pt idx="35">
                  <c:v>M 36</c:v>
                </c:pt>
                <c:pt idx="36">
                  <c:v>M 37</c:v>
                </c:pt>
                <c:pt idx="37">
                  <c:v>M 38</c:v>
                </c:pt>
                <c:pt idx="38">
                  <c:v>M 39</c:v>
                </c:pt>
                <c:pt idx="39">
                  <c:v>M 40</c:v>
                </c:pt>
                <c:pt idx="40">
                  <c:v>M 41</c:v>
                </c:pt>
                <c:pt idx="41">
                  <c:v>M 42</c:v>
                </c:pt>
                <c:pt idx="42">
                  <c:v>M 43</c:v>
                </c:pt>
                <c:pt idx="43">
                  <c:v>M 44</c:v>
                </c:pt>
                <c:pt idx="44">
                  <c:v>M 45</c:v>
                </c:pt>
                <c:pt idx="45">
                  <c:v>M 46</c:v>
                </c:pt>
                <c:pt idx="46">
                  <c:v>M 47</c:v>
                </c:pt>
                <c:pt idx="47">
                  <c:v>M 48</c:v>
                </c:pt>
                <c:pt idx="48">
                  <c:v>M 49</c:v>
                </c:pt>
                <c:pt idx="49">
                  <c:v>M 50</c:v>
                </c:pt>
              </c:strCache>
            </c:strRef>
          </c:cat>
          <c:val>
            <c:numRef>
              <c:f>GRÁFICO!Graf_LCI</c:f>
              <c:numCache>
                <c:formatCode>General</c:formatCode>
                <c:ptCount val="50"/>
                <c:pt idx="0">
                  <c:v>977.76</c:v>
                </c:pt>
                <c:pt idx="1">
                  <c:v>977.76</c:v>
                </c:pt>
                <c:pt idx="2">
                  <c:v>977.76</c:v>
                </c:pt>
                <c:pt idx="3">
                  <c:v>977.76</c:v>
                </c:pt>
                <c:pt idx="4">
                  <c:v>977.76</c:v>
                </c:pt>
                <c:pt idx="5">
                  <c:v>977.76</c:v>
                </c:pt>
                <c:pt idx="6">
                  <c:v>977.76</c:v>
                </c:pt>
                <c:pt idx="7">
                  <c:v>977.76</c:v>
                </c:pt>
                <c:pt idx="8">
                  <c:v>977.76</c:v>
                </c:pt>
                <c:pt idx="9">
                  <c:v>977.76</c:v>
                </c:pt>
                <c:pt idx="10">
                  <c:v>977.76</c:v>
                </c:pt>
                <c:pt idx="11">
                  <c:v>977.76</c:v>
                </c:pt>
                <c:pt idx="12">
                  <c:v>977.76</c:v>
                </c:pt>
                <c:pt idx="13">
                  <c:v>977.76</c:v>
                </c:pt>
                <c:pt idx="14">
                  <c:v>977.76</c:v>
                </c:pt>
                <c:pt idx="15">
                  <c:v>977.76</c:v>
                </c:pt>
                <c:pt idx="16">
                  <c:v>977.76</c:v>
                </c:pt>
                <c:pt idx="17">
                  <c:v>977.76</c:v>
                </c:pt>
                <c:pt idx="18">
                  <c:v>977.76</c:v>
                </c:pt>
                <c:pt idx="19">
                  <c:v>977.76</c:v>
                </c:pt>
                <c:pt idx="20">
                  <c:v>977.76</c:v>
                </c:pt>
                <c:pt idx="21">
                  <c:v>977.76</c:v>
                </c:pt>
                <c:pt idx="22">
                  <c:v>977.76</c:v>
                </c:pt>
                <c:pt idx="23">
                  <c:v>977.76</c:v>
                </c:pt>
                <c:pt idx="24">
                  <c:v>977.76</c:v>
                </c:pt>
                <c:pt idx="25">
                  <c:v>977.76</c:v>
                </c:pt>
                <c:pt idx="26">
                  <c:v>977.76</c:v>
                </c:pt>
                <c:pt idx="27">
                  <c:v>977.76</c:v>
                </c:pt>
                <c:pt idx="28">
                  <c:v>977.76</c:v>
                </c:pt>
                <c:pt idx="29">
                  <c:v>977.76</c:v>
                </c:pt>
                <c:pt idx="30">
                  <c:v>977.76</c:v>
                </c:pt>
                <c:pt idx="31">
                  <c:v>977.76</c:v>
                </c:pt>
                <c:pt idx="32">
                  <c:v>977.76</c:v>
                </c:pt>
                <c:pt idx="33">
                  <c:v>977.76</c:v>
                </c:pt>
                <c:pt idx="34">
                  <c:v>977.76</c:v>
                </c:pt>
                <c:pt idx="35">
                  <c:v>977.76</c:v>
                </c:pt>
                <c:pt idx="36">
                  <c:v>977.76</c:v>
                </c:pt>
                <c:pt idx="37">
                  <c:v>977.76</c:v>
                </c:pt>
                <c:pt idx="38">
                  <c:v>977.76</c:v>
                </c:pt>
                <c:pt idx="39">
                  <c:v>977.76</c:v>
                </c:pt>
                <c:pt idx="40">
                  <c:v>977.76</c:v>
                </c:pt>
                <c:pt idx="41">
                  <c:v>977.76</c:v>
                </c:pt>
                <c:pt idx="42">
                  <c:v>977.76</c:v>
                </c:pt>
                <c:pt idx="43">
                  <c:v>977.76</c:v>
                </c:pt>
                <c:pt idx="44">
                  <c:v>977.76</c:v>
                </c:pt>
                <c:pt idx="45">
                  <c:v>977.76</c:v>
                </c:pt>
                <c:pt idx="46">
                  <c:v>977.76</c:v>
                </c:pt>
                <c:pt idx="47">
                  <c:v>977.76</c:v>
                </c:pt>
                <c:pt idx="48">
                  <c:v>977.76</c:v>
                </c:pt>
                <c:pt idx="49">
                  <c:v>977.76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GRÁFICO!AE1</c:f>
              <c:strCache>
                <c:ptCount val="1"/>
                <c:pt idx="0">
                  <c:v>Nominal</c:v>
                </c:pt>
              </c:strCache>
            </c:strRef>
          </c:tx>
          <c:spPr>
            <a:solidFill>
              <a:srgbClr val="375623"/>
            </a:solidFill>
            <a:ln w="15120">
              <a:solidFill>
                <a:srgbClr val="375623"/>
              </a:solidFill>
              <a:prstDash val="sysDot"/>
              <a:round/>
            </a:ln>
          </c:spPr>
          <c:marker>
            <c:symbol val="none"/>
          </c:marker>
          <c:dLbls>
            <c:txPr>
              <a:bodyPr wrap="non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GRÁFICO!Graf_N</c:f>
              <c:strCache>
                <c:ptCount val="50"/>
                <c:pt idx="0">
                  <c:v>M 1</c:v>
                </c:pt>
                <c:pt idx="1">
                  <c:v>M 2</c:v>
                </c:pt>
                <c:pt idx="2">
                  <c:v>M 3</c:v>
                </c:pt>
                <c:pt idx="3">
                  <c:v>M 4</c:v>
                </c:pt>
                <c:pt idx="4">
                  <c:v>M 5</c:v>
                </c:pt>
                <c:pt idx="5">
                  <c:v>M 6</c:v>
                </c:pt>
                <c:pt idx="6">
                  <c:v>M 7</c:v>
                </c:pt>
                <c:pt idx="7">
                  <c:v>M 8</c:v>
                </c:pt>
                <c:pt idx="8">
                  <c:v>M 9</c:v>
                </c:pt>
                <c:pt idx="9">
                  <c:v>M 10</c:v>
                </c:pt>
                <c:pt idx="10">
                  <c:v>M 11</c:v>
                </c:pt>
                <c:pt idx="11">
                  <c:v>M 12</c:v>
                </c:pt>
                <c:pt idx="12">
                  <c:v>M 13</c:v>
                </c:pt>
                <c:pt idx="13">
                  <c:v>M 14</c:v>
                </c:pt>
                <c:pt idx="14">
                  <c:v>M 15</c:v>
                </c:pt>
                <c:pt idx="15">
                  <c:v>M 16</c:v>
                </c:pt>
                <c:pt idx="16">
                  <c:v>M 17</c:v>
                </c:pt>
                <c:pt idx="17">
                  <c:v>M 18</c:v>
                </c:pt>
                <c:pt idx="18">
                  <c:v>M 19</c:v>
                </c:pt>
                <c:pt idx="19">
                  <c:v>M 20</c:v>
                </c:pt>
                <c:pt idx="20">
                  <c:v>M 21</c:v>
                </c:pt>
                <c:pt idx="21">
                  <c:v>M 22</c:v>
                </c:pt>
                <c:pt idx="22">
                  <c:v>M 23</c:v>
                </c:pt>
                <c:pt idx="23">
                  <c:v>M 24</c:v>
                </c:pt>
                <c:pt idx="24">
                  <c:v>M 25</c:v>
                </c:pt>
                <c:pt idx="25">
                  <c:v>M 26</c:v>
                </c:pt>
                <c:pt idx="26">
                  <c:v>M 27</c:v>
                </c:pt>
                <c:pt idx="27">
                  <c:v>M 28</c:v>
                </c:pt>
                <c:pt idx="28">
                  <c:v>M 29</c:v>
                </c:pt>
                <c:pt idx="29">
                  <c:v>M 30</c:v>
                </c:pt>
                <c:pt idx="30">
                  <c:v>M 31</c:v>
                </c:pt>
                <c:pt idx="31">
                  <c:v>M 32</c:v>
                </c:pt>
                <c:pt idx="32">
                  <c:v>M 33</c:v>
                </c:pt>
                <c:pt idx="33">
                  <c:v>M 34</c:v>
                </c:pt>
                <c:pt idx="34">
                  <c:v>M 35</c:v>
                </c:pt>
                <c:pt idx="35">
                  <c:v>M 36</c:v>
                </c:pt>
                <c:pt idx="36">
                  <c:v>M 37</c:v>
                </c:pt>
                <c:pt idx="37">
                  <c:v>M 38</c:v>
                </c:pt>
                <c:pt idx="38">
                  <c:v>M 39</c:v>
                </c:pt>
                <c:pt idx="39">
                  <c:v>M 40</c:v>
                </c:pt>
                <c:pt idx="40">
                  <c:v>M 41</c:v>
                </c:pt>
                <c:pt idx="41">
                  <c:v>M 42</c:v>
                </c:pt>
                <c:pt idx="42">
                  <c:v>M 43</c:v>
                </c:pt>
                <c:pt idx="43">
                  <c:v>M 44</c:v>
                </c:pt>
                <c:pt idx="44">
                  <c:v>M 45</c:v>
                </c:pt>
                <c:pt idx="45">
                  <c:v>M 46</c:v>
                </c:pt>
                <c:pt idx="46">
                  <c:v>M 47</c:v>
                </c:pt>
                <c:pt idx="47">
                  <c:v>M 48</c:v>
                </c:pt>
                <c:pt idx="48">
                  <c:v>M 49</c:v>
                </c:pt>
                <c:pt idx="49">
                  <c:v>M 50</c:v>
                </c:pt>
              </c:strCache>
            </c:strRef>
          </c:cat>
          <c:val>
            <c:numRef>
              <c:f>GRÁFICO!Graf_Nominal</c:f>
              <c:numCache>
                <c:formatCode>General</c:formatCode>
                <c:ptCount val="50"/>
                <c:pt idx="0">
                  <c:v>1008</c:v>
                </c:pt>
                <c:pt idx="1">
                  <c:v>1008</c:v>
                </c:pt>
                <c:pt idx="2">
                  <c:v>1008</c:v>
                </c:pt>
                <c:pt idx="3">
                  <c:v>1008</c:v>
                </c:pt>
                <c:pt idx="4">
                  <c:v>1008</c:v>
                </c:pt>
                <c:pt idx="5">
                  <c:v>1008</c:v>
                </c:pt>
                <c:pt idx="6">
                  <c:v>1008</c:v>
                </c:pt>
                <c:pt idx="7">
                  <c:v>1008</c:v>
                </c:pt>
                <c:pt idx="8">
                  <c:v>1008</c:v>
                </c:pt>
                <c:pt idx="9">
                  <c:v>1008</c:v>
                </c:pt>
                <c:pt idx="10">
                  <c:v>1008</c:v>
                </c:pt>
                <c:pt idx="11">
                  <c:v>1008</c:v>
                </c:pt>
                <c:pt idx="12">
                  <c:v>1008</c:v>
                </c:pt>
                <c:pt idx="13">
                  <c:v>1008</c:v>
                </c:pt>
                <c:pt idx="14">
                  <c:v>1008</c:v>
                </c:pt>
                <c:pt idx="15">
                  <c:v>1008</c:v>
                </c:pt>
                <c:pt idx="16">
                  <c:v>1008</c:v>
                </c:pt>
                <c:pt idx="17">
                  <c:v>1008</c:v>
                </c:pt>
                <c:pt idx="18">
                  <c:v>1008</c:v>
                </c:pt>
                <c:pt idx="19">
                  <c:v>1008</c:v>
                </c:pt>
                <c:pt idx="20">
                  <c:v>1008</c:v>
                </c:pt>
                <c:pt idx="21">
                  <c:v>1008</c:v>
                </c:pt>
                <c:pt idx="22">
                  <c:v>1008</c:v>
                </c:pt>
                <c:pt idx="23">
                  <c:v>1008</c:v>
                </c:pt>
                <c:pt idx="24">
                  <c:v>1008</c:v>
                </c:pt>
                <c:pt idx="25">
                  <c:v>1008</c:v>
                </c:pt>
                <c:pt idx="26">
                  <c:v>1008</c:v>
                </c:pt>
                <c:pt idx="27">
                  <c:v>1008</c:v>
                </c:pt>
                <c:pt idx="28">
                  <c:v>1008</c:v>
                </c:pt>
                <c:pt idx="29">
                  <c:v>1008</c:v>
                </c:pt>
                <c:pt idx="30">
                  <c:v>1008</c:v>
                </c:pt>
                <c:pt idx="31">
                  <c:v>1008</c:v>
                </c:pt>
                <c:pt idx="32">
                  <c:v>1008</c:v>
                </c:pt>
                <c:pt idx="33">
                  <c:v>1008</c:v>
                </c:pt>
                <c:pt idx="34">
                  <c:v>1008</c:v>
                </c:pt>
                <c:pt idx="35">
                  <c:v>1008</c:v>
                </c:pt>
                <c:pt idx="36">
                  <c:v>1008</c:v>
                </c:pt>
                <c:pt idx="37">
                  <c:v>1008</c:v>
                </c:pt>
                <c:pt idx="38">
                  <c:v>1008</c:v>
                </c:pt>
                <c:pt idx="39">
                  <c:v>1008</c:v>
                </c:pt>
                <c:pt idx="40">
                  <c:v>1008</c:v>
                </c:pt>
                <c:pt idx="41">
                  <c:v>1008</c:v>
                </c:pt>
                <c:pt idx="42">
                  <c:v>1008</c:v>
                </c:pt>
                <c:pt idx="43">
                  <c:v>1008</c:v>
                </c:pt>
                <c:pt idx="44">
                  <c:v>1008</c:v>
                </c:pt>
                <c:pt idx="45">
                  <c:v>1008</c:v>
                </c:pt>
                <c:pt idx="46">
                  <c:v>1008</c:v>
                </c:pt>
                <c:pt idx="47">
                  <c:v>1008</c:v>
                </c:pt>
                <c:pt idx="48">
                  <c:v>1008</c:v>
                </c:pt>
                <c:pt idx="49">
                  <c:v>1008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24431394"/>
        <c:axId val="29716018"/>
      </c:lineChart>
      <c:catAx>
        <c:axId val="24431394"/>
        <c:scaling>
          <c:orientation val="minMax"/>
        </c:scaling>
        <c:delete val="0"/>
        <c:axPos val="b"/>
        <c:title>
          <c:tx>
            <c:strRef>
              <c:f>GRÁFICO!$X$13</c:f>
              <c:strCache>
                <c:ptCount val="1"/>
                <c:pt idx="0">
                  <c:v>Muestra: M 1 (más antiguo) … M 50 (más reciente) — últimos 50 de 93 registros</c:v>
                </c:pt>
              </c:strCache>
            </c:strRef>
          </c:tx>
          <c:overlay val="0"/>
          <c:spPr>
            <a:noFill/>
            <a:ln w="0">
              <a:noFill/>
            </a:ln>
          </c:spPr>
          <c:txPr>
            <a:bodyPr rot="0"/>
            <a:lstStyle/>
            <a:p>
              <a:pPr>
                <a:defRPr b="1" sz="1000" spc="-1" strike="noStrike">
                  <a:solidFill>
                    <a:srgbClr val="000000"/>
                  </a:solidFill>
                  <a:latin typeface="Aptos Narrow"/>
                </a:defRPr>
              </a:pPr>
              <a:endParaRPr lang="es-AR"/>
            </a:p>
          </c:txPr>
        </c:title>
        <c:numFmt formatCode="General" sourceLinked="0"/>
        <c:majorTickMark val="none"/>
        <c:minorTickMark val="none"/>
        <c:tickLblPos val="nextTo"/>
        <c:spPr>
          <a:ln w="1260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Aptos Narrow"/>
              </a:defRPr>
            </a:pPr>
          </a:p>
        </c:txPr>
        <c:crossAx val="29716018"/>
        <c:crosses val="autoZero"/>
        <c:auto val="1"/>
        <c:lblAlgn val="ctr"/>
        <c:lblOffset val="100"/>
        <c:noMultiLvlLbl val="0"/>
      </c:catAx>
      <c:valAx>
        <c:axId val="29716018"/>
        <c:scaling>
          <c:orientation val="minMax"/>
        </c:scaling>
        <c:delete val="0"/>
        <c:axPos val="l"/>
        <c:majorGridlines>
          <c:spPr>
            <a:ln w="12600">
              <a:solidFill>
                <a:srgbClr val="8b8b8b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1" sz="1000" spc="-1" strike="noStrike">
                    <a:solidFill>
                      <a:srgbClr val="000000"/>
                    </a:solidFill>
                    <a:latin typeface="Aptos Narrow"/>
                  </a:defRPr>
                </a:pPr>
                <a:r>
                  <a:rPr b="1" sz="1000" spc="-1" strike="noStrike">
                    <a:solidFill>
                      <a:srgbClr val="000000"/>
                    </a:solidFill>
                    <a:latin typeface="Aptos Narrow"/>
                  </a:rPr>
                  <a:t>Peso (gr)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1260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Aptos Narrow"/>
              </a:defRPr>
            </a:pPr>
          </a:p>
        </c:txPr>
        <c:crossAx val="24431394"/>
        <c:crosses val="autoZero"/>
        <c:crossBetween val="between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Aptos Narrow"/>
            </a:defRPr>
          </a:pPr>
        </a:p>
      </c:txPr>
    </c:legend>
    <c:plotVisOnly val="0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ctrlProps/ctrlProps6.xml><?xml version="1.0" encoding="utf-8"?>
<formControlPr xmlns="http://schemas.microsoft.com/office/spreadsheetml/2009/9/main" objectType="Button" lockText="1"/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_rels/drawing5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0</xdr:colOff>
      <xdr:row>5</xdr:row>
      <xdr:rowOff>0</xdr:rowOff>
    </xdr:from>
    <xdr:to>
      <xdr:col>12</xdr:col>
      <xdr:colOff>761400</xdr:colOff>
      <xdr:row>35</xdr:row>
      <xdr:rowOff>43560</xdr:rowOff>
    </xdr:to>
    <xdr:graphicFrame>
      <xdr:nvGraphicFramePr>
        <xdr:cNvPr id="0" name="Chart 1"/>
        <xdr:cNvGraphicFramePr/>
      </xdr:nvGraphicFramePr>
      <xdr:xfrm>
        <a:off x="222120" y="1523880"/>
        <a:ext cx="11518560" cy="5758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tnCtrlPeso" descr="IR A CTRL_PESO_VISUAL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IR A CTRL_PESO_VISUAL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tnTablaPcpal" descr="IR A TABLA-PCPAL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IR A TABLA-PCPAL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btnSalir" descr="GUARDAR Y SALIR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GUARDAR Y SALIR</a:t>
              </a:r>
            </a:p>
          </xdr:txBody>
        </xdr:sp>
        <xdr:clientData/>
      </xdr:twoCellAnchor>
    </mc:Choice>
  </mc:AlternateContent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0</xdr:colOff>
      <xdr:row>1</xdr:row>
      <xdr:rowOff>27720</xdr:rowOff>
    </xdr:from>
    <xdr:to>
      <xdr:col>1</xdr:col>
      <xdr:colOff>1002240</xdr:colOff>
      <xdr:row>2</xdr:row>
      <xdr:rowOff>114480</xdr:rowOff>
    </xdr:to>
    <xdr:pic>
      <xdr:nvPicPr>
        <xdr:cNvPr id="1" name="Imagen 1" descr=""/>
        <xdr:cNvPicPr/>
      </xdr:nvPicPr>
      <xdr:blipFill>
        <a:blip r:embed="rId1"/>
        <a:stretch/>
      </xdr:blipFill>
      <xdr:spPr>
        <a:xfrm>
          <a:off x="0" y="84960"/>
          <a:ext cx="1002240" cy="27720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2" descr="GUARDAR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GUARDAR</a:t>
              </a:r>
            </a:p>
          </xdr:txBody>
        </xdr:sp>
        <xdr:clientData/>
      </xdr:twoCellAnchor>
    </mc:Choice>
  </mc:AlternateContent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Tema de Offic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 pitchFamily="0" charset="1"/>
        <a:ea typeface=""/>
        <a:cs typeface=""/>
      </a:majorFont>
      <a:minorFont>
        <a:latin typeface="Aptos Narrow" panose="0211000402020202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5.xml"/><Relationship Id="rId3" Type="http://schemas.openxmlformats.org/officeDocument/2006/relationships/vmlDrawing" Target="../drawings/vmlDrawing2.vml"/><Relationship Id="rId4" Type="http://schemas.openxmlformats.org/officeDocument/2006/relationships/ctrlProp" Target="../ctrlProps/ctrlProps6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7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AE30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1" width="2.5"/>
    <col collapsed="false" customWidth="true" hidden="false" outlineLevel="0" max="21" min="2" style="1" width="11"/>
    <col collapsed="false" customWidth="true" hidden="false" outlineLevel="0" max="22" min="22" style="1" width="2.5"/>
    <col collapsed="false" customWidth="true" hidden="true" outlineLevel="0" max="31" min="23" style="1" width="13"/>
  </cols>
  <sheetData>
    <row r="1" customFormat="false" ht="39.75" hidden="false" customHeight="true" outlineLevel="0" collapsed="false">
      <c r="B1" s="2" t="s">
        <v>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AA1" s="3" t="s">
        <v>1</v>
      </c>
      <c r="AB1" s="3" t="s">
        <v>2</v>
      </c>
      <c r="AC1" s="3" t="s">
        <v>3</v>
      </c>
      <c r="AD1" s="3" t="s">
        <v>4</v>
      </c>
      <c r="AE1" s="3" t="s">
        <v>5</v>
      </c>
    </row>
    <row r="2" customFormat="false" ht="21.75" hidden="false" customHeight="true" outlineLevel="0" collapsed="false">
      <c r="N2" s="4" t="s">
        <v>6</v>
      </c>
      <c r="O2" s="4"/>
      <c r="P2" s="4"/>
      <c r="Q2" s="121" t="s">
        <v>7</v>
      </c>
      <c r="R2" s="121"/>
      <c r="S2" s="121"/>
      <c r="W2" s="3" t="s">
        <v>8</v>
      </c>
      <c r="X2" s="1" t="str">
        <f aca="false">$Q$2</f>
        <v>CLÁSICAS</v>
      </c>
      <c r="AA2" s="1" t="str">
        <f aca="false">IF(ROWS($AA$2:AA2)&lt;=$X$3,"M "&amp;ROWS($AA$2:AA2),NA())</f>
        <v>M 1</v>
      </c>
      <c r="AB2" s="6" t="n">
        <f aca="false">IF(ROWS($AA$2:AA2)&lt;=$X$3,IFERROR(INDEX('TABLA-PCPAL'!$G$2:$G$2000,MATCH($Q$2&amp;"|"&amp;($X$14+ROWS($AA$2:AA2)),'TABLA-PCPAL'!$U$2:$U$2000,0)),NA()),NA())</f>
        <v>890</v>
      </c>
      <c r="AC2" s="3" t="n">
        <f aca="false">IF(ROWS($AA$2:AA2)&lt;=$X$3,$X$6,NA())</f>
        <v>1038.24</v>
      </c>
      <c r="AD2" s="3" t="n">
        <f aca="false">IF(ROWS($AA$2:AA2)&lt;=$X$3,$X$7,NA())</f>
        <v>977.76</v>
      </c>
      <c r="AE2" s="3" t="n">
        <f aca="false">IF(ROWS($AA$2:AA2)&lt;=$X$3,$X$8,NA())</f>
        <v>1008</v>
      </c>
    </row>
    <row r="3" customFormat="false" ht="21.75" hidden="false" customHeight="true" outlineLevel="0" collapsed="false">
      <c r="N3" s="4"/>
      <c r="O3" s="4"/>
      <c r="P3" s="4"/>
      <c r="Q3" s="121"/>
      <c r="R3" s="121"/>
      <c r="S3" s="121"/>
      <c r="W3" s="3" t="inlineStr">
        <is>
          <t>n (muestra: últimos registros, máx. 50)</t>
        </is>
      </c>
      <c r="X3" s="3" t="n">
        <f aca="false">MIN(50,$X$12)</f>
        <v>50</v>
      </c>
      <c r="AA3" s="1" t="str">
        <f aca="false">IF(ROWS($AA$2:AA3)&lt;=$X$3,"M "&amp;ROWS($AA$2:AA3),NA())</f>
        <v>M 2</v>
      </c>
      <c r="AB3" s="6" t="n">
        <f aca="false">IF(ROWS($AA$2:AA3)&lt;=$X$3,IFERROR(INDEX('TABLA-PCPAL'!$G$2:$G$2000,MATCH($Q$2&amp;"|"&amp;($X$14+ROWS($AA$2:AA3)),'TABLA-PCPAL'!$U$2:$U$2000,0)),NA()),NA())</f>
        <v>900</v>
      </c>
      <c r="AC3" s="3" t="n">
        <f aca="false">IF(ROWS($AA$2:AA3)&lt;=$X$3,$X$6,NA())</f>
        <v>1038.24</v>
      </c>
      <c r="AD3" s="3" t="n">
        <f aca="false">IF(ROWS($AA$2:AA3)&lt;=$X$3,$X$7,NA())</f>
        <v>977.76</v>
      </c>
      <c r="AE3" s="3" t="n">
        <f aca="false">IF(ROWS($AA$2:AA3)&lt;=$X$3,$X$8,NA())</f>
        <v>1008</v>
      </c>
    </row>
    <row r="4" customFormat="false" ht="15" hidden="false" customHeight="false" outlineLevel="0" collapsed="false">
      <c r="W4" s="1" t="s">
        <v>10</v>
      </c>
      <c r="X4" s="1" t="n">
        <f aca="false">IF($X$3=0,0,AVERAGEIFS('TABLA-PCPAL'!$G$2:$G$2000,'TABLA-PCPAL'!$E$2:$E$2000,$Q$2,'TABLA-PCPAL'!$T$2:$T$2000,"&gt;"&amp;$X$14))</f>
        <v>949.2</v>
      </c>
      <c r="AA4" s="1" t="str">
        <f aca="false">IF(ROWS($AA$2:AA4)&lt;=$X$3,"M "&amp;ROWS($AA$2:AA4),NA())</f>
        <v>M 3</v>
      </c>
      <c r="AB4" s="6" t="n">
        <f aca="false">IF(ROWS($AA$2:AA4)&lt;=$X$3,IFERROR(INDEX('TABLA-PCPAL'!$G$2:$G$2000,MATCH($Q$2&amp;"|"&amp;($X$14+ROWS($AA$2:AA4)),'TABLA-PCPAL'!$U$2:$U$2000,0)),NA()),NA())</f>
        <v>900</v>
      </c>
      <c r="AC4" s="3" t="n">
        <f aca="false">IF(ROWS($AA$2:AA4)&lt;=$X$3,$X$6,NA())</f>
        <v>1038.24</v>
      </c>
      <c r="AD4" s="3" t="n">
        <f aca="false">IF(ROWS($AA$2:AA4)&lt;=$X$3,$X$7,NA())</f>
        <v>977.76</v>
      </c>
      <c r="AE4" s="3" t="n">
        <f aca="false">IF(ROWS($AA$2:AA4)&lt;=$X$3,$X$8,NA())</f>
        <v>1008</v>
      </c>
    </row>
    <row r="5" customFormat="false" ht="21.75" hidden="false" customHeight="true" outlineLevel="0" collapsed="false">
      <c r="B5" s="7" t="str">
        <f aca="false">$X$11</f>
        <v>Cálculo en base a los últimos 50 registros</v>
      </c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W5" s="3" t="s">
        <v>11</v>
      </c>
      <c r="X5" s="3" t="n">
        <f aca="false">IF($X$3&lt;2,0,SQRT(SUMPRODUCT(('TABLA-PCPAL'!$E$2:$E$2000=$Q$2)*('TABLA-PCPAL'!$T$2:$T$2000&gt;$X$14)*('TABLA-PCPAL'!$G$2:$G$2000-$X$4)^2)/($X$3-1)))</f>
        <v>26.483726231443356</v>
      </c>
      <c r="AA5" s="1" t="str">
        <f aca="false">IF(ROWS($AA$2:AA5)&lt;=$X$3,"M "&amp;ROWS($AA$2:AA5),NA())</f>
        <v>M 4</v>
      </c>
      <c r="AB5" s="6" t="n">
        <f aca="false">IF(ROWS($AA$2:AA5)&lt;=$X$3,IFERROR(INDEX('TABLA-PCPAL'!$G$2:$G$2000,MATCH($Q$2&amp;"|"&amp;($X$14+ROWS($AA$2:AA5)),'TABLA-PCPAL'!$U$2:$U$2000,0)),NA()),NA())</f>
        <v>900</v>
      </c>
      <c r="AC5" s="3" t="n">
        <f aca="false">IF(ROWS($AA$2:AA5)&lt;=$X$3,$X$6,NA())</f>
        <v>1038.24</v>
      </c>
      <c r="AD5" s="3" t="n">
        <f aca="false">IF(ROWS($AA$2:AA5)&lt;=$X$3,$X$7,NA())</f>
        <v>977.76</v>
      </c>
      <c r="AE5" s="3" t="n">
        <f aca="false">IF(ROWS($AA$2:AA5)&lt;=$X$3,$X$8,NA())</f>
        <v>1008</v>
      </c>
    </row>
    <row r="6" customFormat="false" ht="15" hidden="false" customHeight="false" outlineLevel="0" collapsed="false">
      <c r="W6" s="1" t="s">
        <v>12</v>
      </c>
      <c r="X6" s="1" t="n">
        <f aca="false">IF($X$3=0,0,AVERAGEIFS('TABLA-PCPAL'!$J$2:$J$2000,'TABLA-PCPAL'!$E$2:$E$2000,$Q$2,'TABLA-PCPAL'!$T$2:$T$2000,"&gt;"&amp;$X$14))</f>
        <v>1038.24</v>
      </c>
      <c r="AA6" s="1" t="str">
        <f aca="false">IF(ROWS($AA$2:AA6)&lt;=$X$3,"M "&amp;ROWS($AA$2:AA6),NA())</f>
        <v>M 5</v>
      </c>
      <c r="AB6" s="6" t="n">
        <f aca="false">IF(ROWS($AA$2:AA6)&lt;=$X$3,IFERROR(INDEX('TABLA-PCPAL'!$G$2:$G$2000,MATCH($Q$2&amp;"|"&amp;($X$14+ROWS($AA$2:AA6)),'TABLA-PCPAL'!$U$2:$U$2000,0)),NA()),NA())</f>
        <v>900</v>
      </c>
      <c r="AC6" s="3" t="n">
        <f aca="false">IF(ROWS($AA$2:AA6)&lt;=$X$3,$X$6,NA())</f>
        <v>1038.24</v>
      </c>
      <c r="AD6" s="3" t="n">
        <f aca="false">IF(ROWS($AA$2:AA6)&lt;=$X$3,$X$7,NA())</f>
        <v>977.76</v>
      </c>
      <c r="AE6" s="3" t="n">
        <f aca="false">IF(ROWS($AA$2:AA6)&lt;=$X$3,$X$8,NA())</f>
        <v>1008</v>
      </c>
    </row>
    <row r="7" customFormat="false" ht="15" hidden="false" customHeight="false" outlineLevel="0" collapsed="false">
      <c r="W7" s="1" t="s">
        <v>13</v>
      </c>
      <c r="X7" s="1" t="n">
        <f aca="false">IF($X$3=0,0,AVERAGEIFS('TABLA-PCPAL'!$I$2:$I$2000,'TABLA-PCPAL'!$E$2:$E$2000,$Q$2,'TABLA-PCPAL'!$T$2:$T$2000,"&gt;"&amp;$X$14))</f>
        <v>977.76</v>
      </c>
      <c r="AA7" s="1" t="str">
        <f aca="false">IF(ROWS($AA$2:AA7)&lt;=$X$3,"M "&amp;ROWS($AA$2:AA7),NA())</f>
        <v>M 6</v>
      </c>
      <c r="AB7" s="6" t="n">
        <f aca="false">IF(ROWS($AA$2:AA7)&lt;=$X$3,IFERROR(INDEX('TABLA-PCPAL'!$G$2:$G$2000,MATCH($Q$2&amp;"|"&amp;($X$14+ROWS($AA$2:AA7)),'TABLA-PCPAL'!$U$2:$U$2000,0)),NA()),NA())</f>
        <v>900</v>
      </c>
      <c r="AC7" s="3" t="n">
        <f aca="false">IF(ROWS($AA$2:AA7)&lt;=$X$3,$X$6,NA())</f>
        <v>1038.24</v>
      </c>
      <c r="AD7" s="3" t="n">
        <f aca="false">IF(ROWS($AA$2:AA7)&lt;=$X$3,$X$7,NA())</f>
        <v>977.76</v>
      </c>
      <c r="AE7" s="3" t="n">
        <f aca="false">IF(ROWS($AA$2:AA7)&lt;=$X$3,$X$8,NA())</f>
        <v>1008</v>
      </c>
    </row>
    <row r="8" customFormat="false" ht="15" hidden="false" customHeight="false" outlineLevel="0" collapsed="false">
      <c r="W8" s="1" t="s">
        <v>14</v>
      </c>
      <c r="X8" s="1" t="n">
        <f aca="false">IF($X$3=0,0,AVERAGEIFS('TABLA-PCPAL'!$H$2:$H$2000,'TABLA-PCPAL'!$E$2:$E$2000,$Q$2,'TABLA-PCPAL'!$T$2:$T$2000,"&gt;"&amp;$X$14))</f>
        <v>1008</v>
      </c>
      <c r="AA8" s="1" t="str">
        <f aca="false">IF(ROWS($AA$2:AA8)&lt;=$X$3,"M "&amp;ROWS($AA$2:AA8),NA())</f>
        <v>M 7</v>
      </c>
      <c r="AB8" s="6" t="n">
        <f aca="false">IF(ROWS($AA$2:AA8)&lt;=$X$3,IFERROR(INDEX('TABLA-PCPAL'!$G$2:$G$2000,MATCH($Q$2&amp;"|"&amp;($X$14+ROWS($AA$2:AA8)),'TABLA-PCPAL'!$U$2:$U$2000,0)),NA()),NA())</f>
        <v>900</v>
      </c>
      <c r="AC8" s="3" t="n">
        <f aca="false">IF(ROWS($AA$2:AA8)&lt;=$X$3,$X$6,NA())</f>
        <v>1038.24</v>
      </c>
      <c r="AD8" s="3" t="n">
        <f aca="false">IF(ROWS($AA$2:AA8)&lt;=$X$3,$X$7,NA())</f>
        <v>977.76</v>
      </c>
      <c r="AE8" s="3" t="n">
        <f aca="false">IF(ROWS($AA$2:AA8)&lt;=$X$3,$X$8,NA())</f>
        <v>1008</v>
      </c>
    </row>
    <row r="9" customFormat="false" ht="15" hidden="false" customHeight="false" outlineLevel="0" collapsed="false">
      <c r="W9" s="1" t="s">
        <v>15</v>
      </c>
      <c r="X9" s="1" t="n">
        <f aca="false">IF($X$5=0,0,($X$6-$X$7)/(6*$X$5))</f>
        <v>0.380611093465855</v>
      </c>
      <c r="AA9" s="1" t="str">
        <f aca="false">IF(ROWS($AA$2:AA9)&lt;=$X$3,"M "&amp;ROWS($AA$2:AA9),NA())</f>
        <v>M 8</v>
      </c>
      <c r="AB9" s="6" t="n">
        <f aca="false">IF(ROWS($AA$2:AA9)&lt;=$X$3,IFERROR(INDEX('TABLA-PCPAL'!$G$2:$G$2000,MATCH($Q$2&amp;"|"&amp;($X$14+ROWS($AA$2:AA9)),'TABLA-PCPAL'!$U$2:$U$2000,0)),NA()),NA())</f>
        <v>900</v>
      </c>
      <c r="AC9" s="3" t="n">
        <f aca="false">IF(ROWS($AA$2:AA9)&lt;=$X$3,$X$6,NA())</f>
        <v>1038.24</v>
      </c>
      <c r="AD9" s="3" t="n">
        <f aca="false">IF(ROWS($AA$2:AA9)&lt;=$X$3,$X$7,NA())</f>
        <v>977.76</v>
      </c>
      <c r="AE9" s="3" t="n">
        <f aca="false">IF(ROWS($AA$2:AA9)&lt;=$X$3,$X$8,NA())</f>
        <v>1008</v>
      </c>
    </row>
    <row r="10" customFormat="false" ht="15" hidden="false" customHeight="false" outlineLevel="0" collapsed="false">
      <c r="W10" s="1" t="s">
        <v>16</v>
      </c>
      <c r="X10" s="1" t="n">
        <f aca="false">IF($X$5=0,0,MIN(($X$6-$X$4)/(3*$X$5),($X$4-$X$7)/(3*$X$5)))</f>
        <v>-0.3594660327177511</v>
      </c>
      <c r="AA10" s="1" t="str">
        <f aca="false">IF(ROWS($AA$2:AA10)&lt;=$X$3,"M "&amp;ROWS($AA$2:AA10),NA())</f>
        <v>M 9</v>
      </c>
      <c r="AB10" s="6" t="n">
        <f aca="false">IF(ROWS($AA$2:AA10)&lt;=$X$3,IFERROR(INDEX('TABLA-PCPAL'!$G$2:$G$2000,MATCH($Q$2&amp;"|"&amp;($X$14+ROWS($AA$2:AA10)),'TABLA-PCPAL'!$U$2:$U$2000,0)),NA()),NA())</f>
        <v>900</v>
      </c>
      <c r="AC10" s="3" t="n">
        <f aca="false">IF(ROWS($AA$2:AA10)&lt;=$X$3,$X$6,NA())</f>
        <v>1038.24</v>
      </c>
      <c r="AD10" s="3" t="n">
        <f aca="false">IF(ROWS($AA$2:AA10)&lt;=$X$3,$X$7,NA())</f>
        <v>977.76</v>
      </c>
      <c r="AE10" s="3" t="n">
        <f aca="false">IF(ROWS($AA$2:AA10)&lt;=$X$3,$X$8,NA())</f>
        <v>1008</v>
      </c>
    </row>
    <row r="11" customFormat="false" ht="15" hidden="false" customHeight="false" outlineLevel="0" collapsed="false">
      <c r="W11" s="1" t="s">
        <v>17</v>
      </c>
      <c r="X11" s="1" t="str">
        <f aca="false">IF($X$12=0,"SIN REGISTROS no se actualizarán los datos",IF($X$12&lt;25,"Cálculo en base a "&amp;$X$3&amp;" registros (menos de 25: resultado poco representativo)",IF($X$12&lt;50,"Cálculo en base a los últimos "&amp;$X$3&amp;" registros (mínimo 25 alcanzado; óptimo 50)","Cálculo en base a los últimos 50 registros")))</f>
        <v>Cálculo en base a los últimos 50 registros</v>
      </c>
      <c r="AA11" s="1" t="str">
        <f aca="false">IF(ROWS($AA$2:AA11)&lt;=$X$3,"M "&amp;ROWS($AA$2:AA11),NA())</f>
        <v>M 10</v>
      </c>
      <c r="AB11" s="6" t="n">
        <f aca="false">IF(ROWS($AA$2:AA11)&lt;=$X$3,IFERROR(INDEX('TABLA-PCPAL'!$G$2:$G$2000,MATCH($Q$2&amp;"|"&amp;($X$14+ROWS($AA$2:AA11)),'TABLA-PCPAL'!$U$2:$U$2000,0)),NA()),NA())</f>
        <v>950</v>
      </c>
      <c r="AC11" s="3" t="n">
        <f aca="false">IF(ROWS($AA$2:AA11)&lt;=$X$3,$X$6,NA())</f>
        <v>1038.24</v>
      </c>
      <c r="AD11" s="3" t="n">
        <f aca="false">IF(ROWS($AA$2:AA11)&lt;=$X$3,$X$7,NA())</f>
        <v>977.76</v>
      </c>
      <c r="AE11" s="3" t="n">
        <f aca="false">IF(ROWS($AA$2:AA11)&lt;=$X$3,$X$8,NA())</f>
        <v>1008</v>
      </c>
    </row>
    <row r="12" customFormat="false" ht="15" hidden="false" customHeight="false" outlineLevel="0" collapsed="false">
      <c r="W12" s="3" t="inlineStr">
        <is>
          <t>Total registros de la placa</t>
        </is>
      </c>
      <c r="X12" s="3" t="n">
        <f aca="false">COUNTIF('TABLA-PCPAL'!$E$2:$E$2000,$Q$2)</f>
        <v>93</v>
      </c>
      <c r="AA12" s="1" t="str">
        <f aca="false">IF(ROWS($AA$2:AA12)&lt;=$X$3,"M "&amp;ROWS($AA$2:AA12),NA())</f>
        <v>M 11</v>
      </c>
      <c r="AB12" s="6" t="n">
        <f aca="false">IF(ROWS($AA$2:AA12)&lt;=$X$3,IFERROR(INDEX('TABLA-PCPAL'!$G$2:$G$2000,MATCH($Q$2&amp;"|"&amp;($X$14+ROWS($AA$2:AA12)),'TABLA-PCPAL'!$U$2:$U$2000,0)),NA()),NA())</f>
        <v>970</v>
      </c>
      <c r="AC12" s="3" t="n">
        <f aca="false">IF(ROWS($AA$2:AA12)&lt;=$X$3,$X$6,NA())</f>
        <v>1038.24</v>
      </c>
      <c r="AD12" s="3" t="n">
        <f aca="false">IF(ROWS($AA$2:AA12)&lt;=$X$3,$X$7,NA())</f>
        <v>977.76</v>
      </c>
      <c r="AE12" s="3" t="n">
        <f aca="false">IF(ROWS($AA$2:AA12)&lt;=$X$3,$X$8,NA())</f>
        <v>1008</v>
      </c>
    </row>
    <row r="13" customFormat="false" ht="15" hidden="false" customHeight="false" outlineLevel="0" collapsed="false">
      <c r="W13" s="3" t="inlineStr">
        <is>
          <t>Título eje horizontal</t>
        </is>
      </c>
      <c r="X13" s="3" t="str">
        <f aca="false">IF($X$12=0,"Muestra: sin registros","Muestra: M 1 (más antiguo) … M "&amp;$X$3&amp;" (más reciente) — últimos "&amp;$X$3&amp;" de "&amp;$X$12&amp;" registros")</f>
        <v>Muestra: M 1 (más antiguo) … M 50 (más reciente) — últimos 50 de 93 registros</v>
      </c>
      <c r="AA13" s="1" t="str">
        <f aca="false">IF(ROWS($AA$2:AA13)&lt;=$X$3,"M "&amp;ROWS($AA$2:AA13),NA())</f>
        <v>M 12</v>
      </c>
      <c r="AB13" s="6" t="n">
        <f aca="false">IF(ROWS($AA$2:AA13)&lt;=$X$3,IFERROR(INDEX('TABLA-PCPAL'!$G$2:$G$2000,MATCH($Q$2&amp;"|"&amp;($X$14+ROWS($AA$2:AA13)),'TABLA-PCPAL'!$U$2:$U$2000,0)),NA()),NA())</f>
        <v>970</v>
      </c>
      <c r="AC13" s="3" t="n">
        <f aca="false">IF(ROWS($AA$2:AA13)&lt;=$X$3,$X$6,NA())</f>
        <v>1038.24</v>
      </c>
      <c r="AD13" s="3" t="n">
        <f aca="false">IF(ROWS($AA$2:AA13)&lt;=$X$3,$X$7,NA())</f>
        <v>977.76</v>
      </c>
      <c r="AE13" s="3" t="n">
        <f aca="false">IF(ROWS($AA$2:AA13)&lt;=$X$3,$X$8,NA())</f>
        <v>1008</v>
      </c>
    </row>
    <row r="14" customFormat="false" ht="15" hidden="false" customHeight="false" outlineLevel="0" collapsed="false">
      <c r="W14" s="3" t="inlineStr">
        <is>
          <t>Registros anteriores excluidos</t>
        </is>
      </c>
      <c r="X14" s="3" t="n">
        <f aca="false">$X$12-$X$3</f>
        <v>43</v>
      </c>
      <c r="AA14" s="1" t="str">
        <f aca="false">IF(ROWS($AA$2:AA14)&lt;=$X$3,"M "&amp;ROWS($AA$2:AA14),NA())</f>
        <v>M 13</v>
      </c>
      <c r="AB14" s="6" t="n">
        <f aca="false">IF(ROWS($AA$2:AA14)&lt;=$X$3,IFERROR(INDEX('TABLA-PCPAL'!$G$2:$G$2000,MATCH($Q$2&amp;"|"&amp;($X$14+ROWS($AA$2:AA14)),'TABLA-PCPAL'!$U$2:$U$2000,0)),NA()),NA())</f>
        <v>970</v>
      </c>
      <c r="AC14" s="3" t="n">
        <f aca="false">IF(ROWS($AA$2:AA14)&lt;=$X$3,$X$6,NA())</f>
        <v>1038.24</v>
      </c>
      <c r="AD14" s="3" t="n">
        <f aca="false">IF(ROWS($AA$2:AA14)&lt;=$X$3,$X$7,NA())</f>
        <v>977.76</v>
      </c>
      <c r="AE14" s="3" t="n">
        <f aca="false">IF(ROWS($AA$2:AA14)&lt;=$X$3,$X$8,NA())</f>
        <v>1008</v>
      </c>
    </row>
    <row r="15" customFormat="false" ht="15" hidden="false" customHeight="false" outlineLevel="0" collapsed="false">
      <c r="AA15" s="1" t="str">
        <f aca="false">IF(ROWS($AA$2:AA15)&lt;=$X$3,"M "&amp;ROWS($AA$2:AA15),NA())</f>
        <v>M 14</v>
      </c>
      <c r="AB15" s="6" t="n">
        <f aca="false">IF(ROWS($AA$2:AA15)&lt;=$X$3,IFERROR(INDEX('TABLA-PCPAL'!$G$2:$G$2000,MATCH($Q$2&amp;"|"&amp;($X$14+ROWS($AA$2:AA15)),'TABLA-PCPAL'!$U$2:$U$2000,0)),NA()),NA())</f>
        <v>970</v>
      </c>
      <c r="AC15" s="3" t="n">
        <f aca="false">IF(ROWS($AA$2:AA15)&lt;=$X$3,$X$6,NA())</f>
        <v>1038.24</v>
      </c>
      <c r="AD15" s="3" t="n">
        <f aca="false">IF(ROWS($AA$2:AA15)&lt;=$X$3,$X$7,NA())</f>
        <v>977.76</v>
      </c>
      <c r="AE15" s="3" t="n">
        <f aca="false">IF(ROWS($AA$2:AA15)&lt;=$X$3,$X$8,NA())</f>
        <v>1008</v>
      </c>
    </row>
    <row r="16" customFormat="false" ht="15" hidden="false" customHeight="false" outlineLevel="0" collapsed="false">
      <c r="AA16" s="1" t="str">
        <f aca="false">IF(ROWS($AA$2:AA16)&lt;=$X$3,"M "&amp;ROWS($AA$2:AA16),NA())</f>
        <v>M 15</v>
      </c>
      <c r="AB16" s="6" t="n">
        <f aca="false">IF(ROWS($AA$2:AA16)&lt;=$X$3,IFERROR(INDEX('TABLA-PCPAL'!$G$2:$G$2000,MATCH($Q$2&amp;"|"&amp;($X$14+ROWS($AA$2:AA16)),'TABLA-PCPAL'!$U$2:$U$2000,0)),NA()),NA())</f>
        <v>970</v>
      </c>
      <c r="AC16" s="3" t="n">
        <f aca="false">IF(ROWS($AA$2:AA16)&lt;=$X$3,$X$6,NA())</f>
        <v>1038.24</v>
      </c>
      <c r="AD16" s="3" t="n">
        <f aca="false">IF(ROWS($AA$2:AA16)&lt;=$X$3,$X$7,NA())</f>
        <v>977.76</v>
      </c>
      <c r="AE16" s="3" t="n">
        <f aca="false">IF(ROWS($AA$2:AA16)&lt;=$X$3,$X$8,NA())</f>
        <v>1008</v>
      </c>
    </row>
    <row r="17" customFormat="false" ht="15" hidden="false" customHeight="false" outlineLevel="0" collapsed="false">
      <c r="AA17" s="1" t="str">
        <f aca="false">IF(ROWS($AA$2:AA17)&lt;=$X$3,"M "&amp;ROWS($AA$2:AA17),NA())</f>
        <v>M 16</v>
      </c>
      <c r="AB17" s="6" t="n">
        <f aca="false">IF(ROWS($AA$2:AA17)&lt;=$X$3,IFERROR(INDEX('TABLA-PCPAL'!$G$2:$G$2000,MATCH($Q$2&amp;"|"&amp;($X$14+ROWS($AA$2:AA17)),'TABLA-PCPAL'!$U$2:$U$2000,0)),NA()),NA())</f>
        <v>970</v>
      </c>
      <c r="AC17" s="3" t="n">
        <f aca="false">IF(ROWS($AA$2:AA17)&lt;=$X$3,$X$6,NA())</f>
        <v>1038.24</v>
      </c>
      <c r="AD17" s="3" t="n">
        <f aca="false">IF(ROWS($AA$2:AA17)&lt;=$X$3,$X$7,NA())</f>
        <v>977.76</v>
      </c>
      <c r="AE17" s="3" t="n">
        <f aca="false">IF(ROWS($AA$2:AA17)&lt;=$X$3,$X$8,NA())</f>
        <v>1008</v>
      </c>
    </row>
    <row r="18" customFormat="false" ht="15" hidden="false" customHeight="false" outlineLevel="0" collapsed="false">
      <c r="AA18" s="1" t="str">
        <f aca="false">IF(ROWS($AA$2:AA18)&lt;=$X$3,"M "&amp;ROWS($AA$2:AA18),NA())</f>
        <v>M 17</v>
      </c>
      <c r="AB18" s="6" t="n">
        <f aca="false">IF(ROWS($AA$2:AA18)&lt;=$X$3,IFERROR(INDEX('TABLA-PCPAL'!$G$2:$G$2000,MATCH($Q$2&amp;"|"&amp;($X$14+ROWS($AA$2:AA18)),'TABLA-PCPAL'!$U$2:$U$2000,0)),NA()),NA())</f>
        <v>970</v>
      </c>
      <c r="AC18" s="3" t="n">
        <f aca="false">IF(ROWS($AA$2:AA18)&lt;=$X$3,$X$6,NA())</f>
        <v>1038.24</v>
      </c>
      <c r="AD18" s="3" t="n">
        <f aca="false">IF(ROWS($AA$2:AA18)&lt;=$X$3,$X$7,NA())</f>
        <v>977.76</v>
      </c>
      <c r="AE18" s="3" t="n">
        <f aca="false">IF(ROWS($AA$2:AA18)&lt;=$X$3,$X$8,NA())</f>
        <v>1008</v>
      </c>
    </row>
    <row r="19" customFormat="false" ht="15" hidden="false" customHeight="false" outlineLevel="0" collapsed="false">
      <c r="AA19" s="1" t="str">
        <f aca="false">IF(ROWS($AA$2:AA19)&lt;=$X$3,"M "&amp;ROWS($AA$2:AA19),NA())</f>
        <v>M 18</v>
      </c>
      <c r="AB19" s="6" t="n">
        <f aca="false">IF(ROWS($AA$2:AA19)&lt;=$X$3,IFERROR(INDEX('TABLA-PCPAL'!$G$2:$G$2000,MATCH($Q$2&amp;"|"&amp;($X$14+ROWS($AA$2:AA19)),'TABLA-PCPAL'!$U$2:$U$2000,0)),NA()),NA())</f>
        <v>970</v>
      </c>
      <c r="AC19" s="3" t="n">
        <f aca="false">IF(ROWS($AA$2:AA19)&lt;=$X$3,$X$6,NA())</f>
        <v>1038.24</v>
      </c>
      <c r="AD19" s="3" t="n">
        <f aca="false">IF(ROWS($AA$2:AA19)&lt;=$X$3,$X$7,NA())</f>
        <v>977.76</v>
      </c>
      <c r="AE19" s="3" t="n">
        <f aca="false">IF(ROWS($AA$2:AA19)&lt;=$X$3,$X$8,NA())</f>
        <v>1008</v>
      </c>
    </row>
    <row r="20" customFormat="false" ht="15" hidden="false" customHeight="false" outlineLevel="0" collapsed="false">
      <c r="AA20" s="1" t="str">
        <f aca="false">IF(ROWS($AA$2:AA20)&lt;=$X$3,"M "&amp;ROWS($AA$2:AA20),NA())</f>
        <v>M 19</v>
      </c>
      <c r="AB20" s="6" t="n">
        <f aca="false">IF(ROWS($AA$2:AA20)&lt;=$X$3,IFERROR(INDEX('TABLA-PCPAL'!$G$2:$G$2000,MATCH($Q$2&amp;"|"&amp;($X$14+ROWS($AA$2:AA20)),'TABLA-PCPAL'!$U$2:$U$2000,0)),NA()),NA())</f>
        <v>970</v>
      </c>
      <c r="AC20" s="3" t="n">
        <f aca="false">IF(ROWS($AA$2:AA20)&lt;=$X$3,$X$6,NA())</f>
        <v>1038.24</v>
      </c>
      <c r="AD20" s="3" t="n">
        <f aca="false">IF(ROWS($AA$2:AA20)&lt;=$X$3,$X$7,NA())</f>
        <v>977.76</v>
      </c>
      <c r="AE20" s="3" t="n">
        <f aca="false">IF(ROWS($AA$2:AA20)&lt;=$X$3,$X$8,NA())</f>
        <v>1008</v>
      </c>
    </row>
    <row r="21" customFormat="false" ht="15" hidden="false" customHeight="false" outlineLevel="0" collapsed="false">
      <c r="AA21" s="1" t="str">
        <f aca="false">IF(ROWS($AA$2:AA21)&lt;=$X$3,"M "&amp;ROWS($AA$2:AA21),NA())</f>
        <v>M 20</v>
      </c>
      <c r="AB21" s="6" t="n">
        <f aca="false">IF(ROWS($AA$2:AA21)&lt;=$X$3,IFERROR(INDEX('TABLA-PCPAL'!$G$2:$G$2000,MATCH($Q$2&amp;"|"&amp;($X$14+ROWS($AA$2:AA21)),'TABLA-PCPAL'!$U$2:$U$2000,0)),NA()),NA())</f>
        <v>970</v>
      </c>
      <c r="AC21" s="3" t="n">
        <f aca="false">IF(ROWS($AA$2:AA21)&lt;=$X$3,$X$6,NA())</f>
        <v>1038.24</v>
      </c>
      <c r="AD21" s="3" t="n">
        <f aca="false">IF(ROWS($AA$2:AA21)&lt;=$X$3,$X$7,NA())</f>
        <v>977.76</v>
      </c>
      <c r="AE21" s="3" t="n">
        <f aca="false">IF(ROWS($AA$2:AA21)&lt;=$X$3,$X$8,NA())</f>
        <v>1008</v>
      </c>
    </row>
    <row r="22" customFormat="false" ht="15" hidden="false" customHeight="false" outlineLevel="0" collapsed="false">
      <c r="AA22" s="1" t="str">
        <f aca="false">IF(ROWS($AA$2:AA22)&lt;=$X$3,"M "&amp;ROWS($AA$2:AA22),NA())</f>
        <v>M 21</v>
      </c>
      <c r="AB22" s="6" t="n">
        <f aca="false">IF(ROWS($AA$2:AA22)&lt;=$X$3,IFERROR(INDEX('TABLA-PCPAL'!$G$2:$G$2000,MATCH($Q$2&amp;"|"&amp;($X$14+ROWS($AA$2:AA22)),'TABLA-PCPAL'!$U$2:$U$2000,0)),NA()),NA())</f>
        <v>970</v>
      </c>
      <c r="AC22" s="3" t="n">
        <f aca="false">IF(ROWS($AA$2:AA22)&lt;=$X$3,$X$6,NA())</f>
        <v>1038.24</v>
      </c>
      <c r="AD22" s="3" t="n">
        <f aca="false">IF(ROWS($AA$2:AA22)&lt;=$X$3,$X$7,NA())</f>
        <v>977.76</v>
      </c>
      <c r="AE22" s="3" t="n">
        <f aca="false">IF(ROWS($AA$2:AA22)&lt;=$X$3,$X$8,NA())</f>
        <v>1008</v>
      </c>
    </row>
    <row r="23" customFormat="false" ht="15" hidden="false" customHeight="false" outlineLevel="0" collapsed="false">
      <c r="AA23" s="1" t="str">
        <f aca="false">IF(ROWS($AA$2:AA23)&lt;=$X$3,"M "&amp;ROWS($AA$2:AA23),NA())</f>
        <v>M 22</v>
      </c>
      <c r="AB23" s="6" t="n">
        <f aca="false">IF(ROWS($AA$2:AA23)&lt;=$X$3,IFERROR(INDEX('TABLA-PCPAL'!$G$2:$G$2000,MATCH($Q$2&amp;"|"&amp;($X$14+ROWS($AA$2:AA23)),'TABLA-PCPAL'!$U$2:$U$2000,0)),NA()),NA())</f>
        <v>970</v>
      </c>
      <c r="AC23" s="3" t="n">
        <f aca="false">IF(ROWS($AA$2:AA23)&lt;=$X$3,$X$6,NA())</f>
        <v>1038.24</v>
      </c>
      <c r="AD23" s="3" t="n">
        <f aca="false">IF(ROWS($AA$2:AA23)&lt;=$X$3,$X$7,NA())</f>
        <v>977.76</v>
      </c>
      <c r="AE23" s="3" t="n">
        <f aca="false">IF(ROWS($AA$2:AA23)&lt;=$X$3,$X$8,NA())</f>
        <v>1008</v>
      </c>
    </row>
    <row r="24" customFormat="false" ht="15" hidden="false" customHeight="false" outlineLevel="0" collapsed="false">
      <c r="AA24" s="1" t="str">
        <f aca="false">IF(ROWS($AA$2:AA24)&lt;=$X$3,"M "&amp;ROWS($AA$2:AA24),NA())</f>
        <v>M 23</v>
      </c>
      <c r="AB24" s="6" t="n">
        <f aca="false">IF(ROWS($AA$2:AA24)&lt;=$X$3,IFERROR(INDEX('TABLA-PCPAL'!$G$2:$G$2000,MATCH($Q$2&amp;"|"&amp;($X$14+ROWS($AA$2:AA24)),'TABLA-PCPAL'!$U$2:$U$2000,0)),NA()),NA())</f>
        <v>965</v>
      </c>
      <c r="AC24" s="3" t="n">
        <f aca="false">IF(ROWS($AA$2:AA24)&lt;=$X$3,$X$6,NA())</f>
        <v>1038.24</v>
      </c>
      <c r="AD24" s="3" t="n">
        <f aca="false">IF(ROWS($AA$2:AA24)&lt;=$X$3,$X$7,NA())</f>
        <v>977.76</v>
      </c>
      <c r="AE24" s="3" t="n">
        <f aca="false">IF(ROWS($AA$2:AA24)&lt;=$X$3,$X$8,NA())</f>
        <v>1008</v>
      </c>
    </row>
    <row r="25" customFormat="false" ht="15" hidden="false" customHeight="false" outlineLevel="0" collapsed="false">
      <c r="AA25" s="1" t="str">
        <f aca="false">IF(ROWS($AA$2:AA25)&lt;=$X$3,"M "&amp;ROWS($AA$2:AA25),NA())</f>
        <v>M 24</v>
      </c>
      <c r="AB25" s="6" t="n">
        <f aca="false">IF(ROWS($AA$2:AA25)&lt;=$X$3,IFERROR(INDEX('TABLA-PCPAL'!$G$2:$G$2000,MATCH($Q$2&amp;"|"&amp;($X$14+ROWS($AA$2:AA25)),'TABLA-PCPAL'!$U$2:$U$2000,0)),NA()),NA())</f>
        <v>965</v>
      </c>
      <c r="AC25" s="3" t="n">
        <f aca="false">IF(ROWS($AA$2:AA25)&lt;=$X$3,$X$6,NA())</f>
        <v>1038.24</v>
      </c>
      <c r="AD25" s="3" t="n">
        <f aca="false">IF(ROWS($AA$2:AA25)&lt;=$X$3,$X$7,NA())</f>
        <v>977.76</v>
      </c>
      <c r="AE25" s="3" t="n">
        <f aca="false">IF(ROWS($AA$2:AA25)&lt;=$X$3,$X$8,NA())</f>
        <v>1008</v>
      </c>
    </row>
    <row r="26" customFormat="false" ht="15" hidden="false" customHeight="false" outlineLevel="0" collapsed="false">
      <c r="AA26" s="1" t="str">
        <f aca="false">IF(ROWS($AA$2:AA26)&lt;=$X$3,"M "&amp;ROWS($AA$2:AA26),NA())</f>
        <v>M 25</v>
      </c>
      <c r="AB26" s="6" t="n">
        <f aca="false">IF(ROWS($AA$2:AA26)&lt;=$X$3,IFERROR(INDEX('TABLA-PCPAL'!$G$2:$G$2000,MATCH($Q$2&amp;"|"&amp;($X$14+ROWS($AA$2:AA26)),'TABLA-PCPAL'!$U$2:$U$2000,0)),NA()),NA())</f>
        <v>970</v>
      </c>
      <c r="AC26" s="3" t="n">
        <f aca="false">IF(ROWS($AA$2:AA26)&lt;=$X$3,$X$6,NA())</f>
        <v>1038.24</v>
      </c>
      <c r="AD26" s="3" t="n">
        <f aca="false">IF(ROWS($AA$2:AA26)&lt;=$X$3,$X$7,NA())</f>
        <v>977.76</v>
      </c>
      <c r="AE26" s="3" t="n">
        <f aca="false">IF(ROWS($AA$2:AA26)&lt;=$X$3,$X$8,NA())</f>
        <v>1008</v>
      </c>
    </row>
    <row r="27" customFormat="false" ht="15" hidden="false" customHeight="false" outlineLevel="0" collapsed="false">
      <c r="AA27" s="1" t="str">
        <f aca="false">IF(ROWS($AA$2:AA27)&lt;=$X$3,"M "&amp;ROWS($AA$2:AA27),NA())</f>
        <v>M 26</v>
      </c>
      <c r="AB27" s="6" t="n">
        <f aca="false">IF(ROWS($AA$2:AA27)&lt;=$X$3,IFERROR(INDEX('TABLA-PCPAL'!$G$2:$G$2000,MATCH($Q$2&amp;"|"&amp;($X$14+ROWS($AA$2:AA27)),'TABLA-PCPAL'!$U$2:$U$2000,0)),NA()),NA())</f>
        <v>970</v>
      </c>
      <c r="AC27" s="3" t="n">
        <f aca="false">IF(ROWS($AA$2:AA27)&lt;=$X$3,$X$6,NA())</f>
        <v>1038.24</v>
      </c>
      <c r="AD27" s="3" t="n">
        <f aca="false">IF(ROWS($AA$2:AA27)&lt;=$X$3,$X$7,NA())</f>
        <v>977.76</v>
      </c>
      <c r="AE27" s="3" t="n">
        <f aca="false">IF(ROWS($AA$2:AA27)&lt;=$X$3,$X$8,NA())</f>
        <v>1008</v>
      </c>
    </row>
    <row r="28" customFormat="false" ht="15" hidden="false" customHeight="false" outlineLevel="0" collapsed="false">
      <c r="AA28" s="1" t="str">
        <f aca="false">IF(ROWS($AA$2:AA28)&lt;=$X$3,"M "&amp;ROWS($AA$2:AA28),NA())</f>
        <v>M 27</v>
      </c>
      <c r="AB28" s="6" t="n">
        <f aca="false">IF(ROWS($AA$2:AA28)&lt;=$X$3,IFERROR(INDEX('TABLA-PCPAL'!$G$2:$G$2000,MATCH($Q$2&amp;"|"&amp;($X$14+ROWS($AA$2:AA28)),'TABLA-PCPAL'!$U$2:$U$2000,0)),NA()),NA())</f>
        <v>970</v>
      </c>
      <c r="AC28" s="3" t="n">
        <f aca="false">IF(ROWS($AA$2:AA28)&lt;=$X$3,$X$6,NA())</f>
        <v>1038.24</v>
      </c>
      <c r="AD28" s="3" t="n">
        <f aca="false">IF(ROWS($AA$2:AA28)&lt;=$X$3,$X$7,NA())</f>
        <v>977.76</v>
      </c>
      <c r="AE28" s="3" t="n">
        <f aca="false">IF(ROWS($AA$2:AA28)&lt;=$X$3,$X$8,NA())</f>
        <v>1008</v>
      </c>
    </row>
    <row r="29" customFormat="false" ht="15" hidden="false" customHeight="false" outlineLevel="0" collapsed="false">
      <c r="AA29" s="1" t="str">
        <f aca="false">IF(ROWS($AA$2:AA29)&lt;=$X$3,"M "&amp;ROWS($AA$2:AA29),NA())</f>
        <v>M 28</v>
      </c>
      <c r="AB29" s="6" t="n">
        <f aca="false">IF(ROWS($AA$2:AA29)&lt;=$X$3,IFERROR(INDEX('TABLA-PCPAL'!$G$2:$G$2000,MATCH($Q$2&amp;"|"&amp;($X$14+ROWS($AA$2:AA29)),'TABLA-PCPAL'!$U$2:$U$2000,0)),NA()),NA())</f>
        <v>970</v>
      </c>
      <c r="AC29" s="3" t="n">
        <f aca="false">IF(ROWS($AA$2:AA29)&lt;=$X$3,$X$6,NA())</f>
        <v>1038.24</v>
      </c>
      <c r="AD29" s="3" t="n">
        <f aca="false">IF(ROWS($AA$2:AA29)&lt;=$X$3,$X$7,NA())</f>
        <v>977.76</v>
      </c>
      <c r="AE29" s="3" t="n">
        <f aca="false">IF(ROWS($AA$2:AA29)&lt;=$X$3,$X$8,NA())</f>
        <v>1008</v>
      </c>
    </row>
    <row r="30" customFormat="false" ht="15" hidden="false" customHeight="false" outlineLevel="0" collapsed="false">
      <c r="AA30" s="1" t="str">
        <f aca="false">IF(ROWS($AA$2:AA30)&lt;=$X$3,"M "&amp;ROWS($AA$2:AA30),NA())</f>
        <v>M 29</v>
      </c>
      <c r="AB30" s="6" t="n">
        <f aca="false">IF(ROWS($AA$2:AA30)&lt;=$X$3,IFERROR(INDEX('TABLA-PCPAL'!$G$2:$G$2000,MATCH($Q$2&amp;"|"&amp;($X$14+ROWS($AA$2:AA30)),'TABLA-PCPAL'!$U$2:$U$2000,0)),NA()),NA())</f>
        <v>970</v>
      </c>
      <c r="AC30" s="3" t="n">
        <f aca="false">IF(ROWS($AA$2:AA30)&lt;=$X$3,$X$6,NA())</f>
        <v>1038.24</v>
      </c>
      <c r="AD30" s="3" t="n">
        <f aca="false">IF(ROWS($AA$2:AA30)&lt;=$X$3,$X$7,NA())</f>
        <v>977.76</v>
      </c>
      <c r="AE30" s="3" t="n">
        <f aca="false">IF(ROWS($AA$2:AA30)&lt;=$X$3,$X$8,NA())</f>
        <v>1008</v>
      </c>
    </row>
    <row r="31" customFormat="false" ht="15" hidden="false" customHeight="false" outlineLevel="0" collapsed="false">
      <c r="AA31" s="1" t="str">
        <f aca="false">IF(ROWS($AA$2:AA31)&lt;=$X$3,"M "&amp;ROWS($AA$2:AA31),NA())</f>
        <v>M 30</v>
      </c>
      <c r="AB31" s="6" t="n">
        <f aca="false">IF(ROWS($AA$2:AA31)&lt;=$X$3,IFERROR(INDEX('TABLA-PCPAL'!$G$2:$G$2000,MATCH($Q$2&amp;"|"&amp;($X$14+ROWS($AA$2:AA31)),'TABLA-PCPAL'!$U$2:$U$2000,0)),NA()),NA())</f>
        <v>970</v>
      </c>
      <c r="AC31" s="3" t="n">
        <f aca="false">IF(ROWS($AA$2:AA31)&lt;=$X$3,$X$6,NA())</f>
        <v>1038.24</v>
      </c>
      <c r="AD31" s="3" t="n">
        <f aca="false">IF(ROWS($AA$2:AA31)&lt;=$X$3,$X$7,NA())</f>
        <v>977.76</v>
      </c>
      <c r="AE31" s="3" t="n">
        <f aca="false">IF(ROWS($AA$2:AA31)&lt;=$X$3,$X$8,NA())</f>
        <v>1008</v>
      </c>
    </row>
    <row r="32" customFormat="false" ht="15" hidden="false" customHeight="false" outlineLevel="0" collapsed="false">
      <c r="AA32" s="1" t="str">
        <f aca="false">IF(ROWS($AA$2:AA32)&lt;=$X$3,"M "&amp;ROWS($AA$2:AA32),NA())</f>
        <v>M 31</v>
      </c>
      <c r="AB32" s="6" t="n">
        <f aca="false">IF(ROWS($AA$2:AA32)&lt;=$X$3,IFERROR(INDEX('TABLA-PCPAL'!$G$2:$G$2000,MATCH($Q$2&amp;"|"&amp;($X$14+ROWS($AA$2:AA32)),'TABLA-PCPAL'!$U$2:$U$2000,0)),NA()),NA())</f>
        <v>980</v>
      </c>
      <c r="AC32" s="3" t="n">
        <f aca="false">IF(ROWS($AA$2:AA32)&lt;=$X$3,$X$6,NA())</f>
        <v>1038.24</v>
      </c>
      <c r="AD32" s="3" t="n">
        <f aca="false">IF(ROWS($AA$2:AA32)&lt;=$X$3,$X$7,NA())</f>
        <v>977.76</v>
      </c>
      <c r="AE32" s="3" t="n">
        <f aca="false">IF(ROWS($AA$2:AA32)&lt;=$X$3,$X$8,NA())</f>
        <v>1008</v>
      </c>
    </row>
    <row r="33" customFormat="false" ht="15" hidden="false" customHeight="false" outlineLevel="0" collapsed="false">
      <c r="AA33" s="1" t="str">
        <f aca="false">IF(ROWS($AA$2:AA33)&lt;=$X$3,"M "&amp;ROWS($AA$2:AA33),NA())</f>
        <v>M 32</v>
      </c>
      <c r="AB33" s="6" t="n">
        <f aca="false">IF(ROWS($AA$2:AA33)&lt;=$X$3,IFERROR(INDEX('TABLA-PCPAL'!$G$2:$G$2000,MATCH($Q$2&amp;"|"&amp;($X$14+ROWS($AA$2:AA33)),'TABLA-PCPAL'!$U$2:$U$2000,0)),NA()),NA())</f>
        <v>935</v>
      </c>
      <c r="AC33" s="3" t="n">
        <f aca="false">IF(ROWS($AA$2:AA33)&lt;=$X$3,$X$6,NA())</f>
        <v>1038.24</v>
      </c>
      <c r="AD33" s="3" t="n">
        <f aca="false">IF(ROWS($AA$2:AA33)&lt;=$X$3,$X$7,NA())</f>
        <v>977.76</v>
      </c>
      <c r="AE33" s="3" t="n">
        <f aca="false">IF(ROWS($AA$2:AA33)&lt;=$X$3,$X$8,NA())</f>
        <v>1008</v>
      </c>
    </row>
    <row r="34" customFormat="false" ht="15" hidden="false" customHeight="false" outlineLevel="0" collapsed="false">
      <c r="AA34" s="1" t="str">
        <f aca="false">IF(ROWS($AA$2:AA34)&lt;=$X$3,"M "&amp;ROWS($AA$2:AA34),NA())</f>
        <v>M 33</v>
      </c>
      <c r="AB34" s="6" t="n">
        <f aca="false">IF(ROWS($AA$2:AA34)&lt;=$X$3,IFERROR(INDEX('TABLA-PCPAL'!$G$2:$G$2000,MATCH($Q$2&amp;"|"&amp;($X$14+ROWS($AA$2:AA34)),'TABLA-PCPAL'!$U$2:$U$2000,0)),NA()),NA())</f>
        <v>935</v>
      </c>
      <c r="AC34" s="3" t="n">
        <f aca="false">IF(ROWS($AA$2:AA34)&lt;=$X$3,$X$6,NA())</f>
        <v>1038.24</v>
      </c>
      <c r="AD34" s="3" t="n">
        <f aca="false">IF(ROWS($AA$2:AA34)&lt;=$X$3,$X$7,NA())</f>
        <v>977.76</v>
      </c>
      <c r="AE34" s="3" t="n">
        <f aca="false">IF(ROWS($AA$2:AA34)&lt;=$X$3,$X$8,NA())</f>
        <v>1008</v>
      </c>
    </row>
    <row r="35" customFormat="false" ht="15" hidden="false" customHeight="false" outlineLevel="0" collapsed="false">
      <c r="AA35" s="1" t="str">
        <f aca="false">IF(ROWS($AA$2:AA35)&lt;=$X$3,"M "&amp;ROWS($AA$2:AA35),NA())</f>
        <v>M 34</v>
      </c>
      <c r="AB35" s="6" t="n">
        <f aca="false">IF(ROWS($AA$2:AA35)&lt;=$X$3,IFERROR(INDEX('TABLA-PCPAL'!$G$2:$G$2000,MATCH($Q$2&amp;"|"&amp;($X$14+ROWS($AA$2:AA35)),'TABLA-PCPAL'!$U$2:$U$2000,0)),NA()),NA())</f>
        <v>935</v>
      </c>
      <c r="AC35" s="3" t="n">
        <f aca="false">IF(ROWS($AA$2:AA35)&lt;=$X$3,$X$6,NA())</f>
        <v>1038.24</v>
      </c>
      <c r="AD35" s="3" t="n">
        <f aca="false">IF(ROWS($AA$2:AA35)&lt;=$X$3,$X$7,NA())</f>
        <v>977.76</v>
      </c>
      <c r="AE35" s="3" t="n">
        <f aca="false">IF(ROWS($AA$2:AA35)&lt;=$X$3,$X$8,NA())</f>
        <v>1008</v>
      </c>
    </row>
    <row r="36" customFormat="false" ht="15" hidden="false" customHeight="false" outlineLevel="0" collapsed="false">
      <c r="AA36" s="1" t="str">
        <f aca="false">IF(ROWS($AA$2:AA36)&lt;=$X$3,"M "&amp;ROWS($AA$2:AA36),NA())</f>
        <v>M 35</v>
      </c>
      <c r="AB36" s="6" t="n">
        <f aca="false">IF(ROWS($AA$2:AA36)&lt;=$X$3,IFERROR(INDEX('TABLA-PCPAL'!$G$2:$G$2000,MATCH($Q$2&amp;"|"&amp;($X$14+ROWS($AA$2:AA36)),'TABLA-PCPAL'!$U$2:$U$2000,0)),NA()),NA())</f>
        <v>940</v>
      </c>
      <c r="AC36" s="3" t="n">
        <f aca="false">IF(ROWS($AA$2:AA36)&lt;=$X$3,$X$6,NA())</f>
        <v>1038.24</v>
      </c>
      <c r="AD36" s="3" t="n">
        <f aca="false">IF(ROWS($AA$2:AA36)&lt;=$X$3,$X$7,NA())</f>
        <v>977.76</v>
      </c>
      <c r="AE36" s="3" t="n">
        <f aca="false">IF(ROWS($AA$2:AA36)&lt;=$X$3,$X$8,NA())</f>
        <v>1008</v>
      </c>
    </row>
    <row r="37" customFormat="false" ht="15" hidden="false" customHeight="false" outlineLevel="0" collapsed="false">
      <c r="AA37" s="1" t="str">
        <f aca="false">IF(ROWS($AA$2:AA37)&lt;=$X$3,"M "&amp;ROWS($AA$2:AA37),NA())</f>
        <v>M 36</v>
      </c>
      <c r="AB37" s="6" t="n">
        <f aca="false">IF(ROWS($AA$2:AA37)&lt;=$X$3,IFERROR(INDEX('TABLA-PCPAL'!$G$2:$G$2000,MATCH($Q$2&amp;"|"&amp;($X$14+ROWS($AA$2:AA37)),'TABLA-PCPAL'!$U$2:$U$2000,0)),NA()),NA())</f>
        <v>940</v>
      </c>
      <c r="AC37" s="3" t="n">
        <f aca="false">IF(ROWS($AA$2:AA37)&lt;=$X$3,$X$6,NA())</f>
        <v>1038.24</v>
      </c>
      <c r="AD37" s="3" t="n">
        <f aca="false">IF(ROWS($AA$2:AA37)&lt;=$X$3,$X$7,NA())</f>
        <v>977.76</v>
      </c>
      <c r="AE37" s="3" t="n">
        <f aca="false">IF(ROWS($AA$2:AA37)&lt;=$X$3,$X$8,NA())</f>
        <v>1008</v>
      </c>
    </row>
    <row r="38" customFormat="false" ht="19.5" hidden="false" customHeight="true" outlineLevel="0" collapsed="false">
      <c r="B38" s="8" t="str">
        <f aca="false">"INDICADORES DEL PROCESO (Cp / Cpk) — " &amp; $Q$2</f>
        <v>INDICADORES DEL PROCESO (Cp / Cpk) — CLÁSICAS</v>
      </c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AA38" s="1" t="str">
        <f aca="false">IF(ROWS($AA$2:AA38)&lt;=$X$3,"M "&amp;ROWS($AA$2:AA38),NA())</f>
        <v>M 37</v>
      </c>
      <c r="AB38" s="6" t="n">
        <f aca="false">IF(ROWS($AA$2:AA38)&lt;=$X$3,IFERROR(INDEX('TABLA-PCPAL'!$G$2:$G$2000,MATCH($Q$2&amp;"|"&amp;($X$14+ROWS($AA$2:AA38)),'TABLA-PCPAL'!$U$2:$U$2000,0)),NA()),NA())</f>
        <v>960</v>
      </c>
      <c r="AC38" s="3" t="n">
        <f aca="false">IF(ROWS($AA$2:AA38)&lt;=$X$3,$X$6,NA())</f>
        <v>1038.24</v>
      </c>
      <c r="AD38" s="3" t="n">
        <f aca="false">IF(ROWS($AA$2:AA38)&lt;=$X$3,$X$7,NA())</f>
        <v>977.76</v>
      </c>
      <c r="AE38" s="3" t="n">
        <f aca="false">IF(ROWS($AA$2:AA38)&lt;=$X$3,$X$8,NA())</f>
        <v>1008</v>
      </c>
    </row>
    <row r="39" customFormat="false" ht="27.75" hidden="false" customHeight="true" outlineLevel="0" collapsed="false">
      <c r="B39" s="9" t="s">
        <v>15</v>
      </c>
      <c r="C39" s="9"/>
      <c r="D39" s="10" t="s">
        <v>16</v>
      </c>
      <c r="E39" s="10"/>
      <c r="F39" s="10" t="s">
        <v>18</v>
      </c>
      <c r="G39" s="10"/>
      <c r="H39" s="10" t="s">
        <v>10</v>
      </c>
      <c r="I39" s="10"/>
      <c r="J39" s="10" t="s">
        <v>3</v>
      </c>
      <c r="K39" s="10"/>
      <c r="L39" s="10" t="s">
        <v>4</v>
      </c>
      <c r="M39" s="10"/>
      <c r="N39" s="10" t="s">
        <v>19</v>
      </c>
      <c r="O39" s="10"/>
      <c r="AA39" s="1" t="str">
        <f aca="false">IF(ROWS($AA$2:AA39)&lt;=$X$3,"M "&amp;ROWS($AA$2:AA39),NA())</f>
        <v>M 38</v>
      </c>
      <c r="AB39" s="6" t="n">
        <f aca="false">IF(ROWS($AA$2:AA39)&lt;=$X$3,IFERROR(INDEX('TABLA-PCPAL'!$G$2:$G$2000,MATCH($Q$2&amp;"|"&amp;($X$14+ROWS($AA$2:AA39)),'TABLA-PCPAL'!$U$2:$U$2000,0)),NA()),NA())</f>
        <v>960</v>
      </c>
      <c r="AC39" s="3" t="n">
        <f aca="false">IF(ROWS($AA$2:AA39)&lt;=$X$3,$X$6,NA())</f>
        <v>1038.24</v>
      </c>
      <c r="AD39" s="3" t="n">
        <f aca="false">IF(ROWS($AA$2:AA39)&lt;=$X$3,$X$7,NA())</f>
        <v>977.76</v>
      </c>
      <c r="AE39" s="3" t="n">
        <f aca="false">IF(ROWS($AA$2:AA39)&lt;=$X$3,$X$8,NA())</f>
        <v>1008</v>
      </c>
    </row>
    <row r="40" customFormat="false" ht="21.75" hidden="false" customHeight="true" outlineLevel="0" collapsed="false">
      <c r="B40" s="11" t="n">
        <f aca="false">IF($X$3=0,"-",ROUND($X$9,3))</f>
        <v>0.381</v>
      </c>
      <c r="C40" s="11"/>
      <c r="D40" s="12" t="n">
        <f aca="false">IF($X$3=0,"-",ROUND($X$10,3))</f>
        <v>-0.359</v>
      </c>
      <c r="E40" s="12"/>
      <c r="F40" s="12" t="n">
        <f aca="false">IF($X$3=0,"-",ROUND($X$5,3))</f>
        <v>26.484</v>
      </c>
      <c r="G40" s="12"/>
      <c r="H40" s="12" t="n">
        <f aca="false">IF($X$3=0,"-",ROUND($X$4,2))</f>
        <v>949.2</v>
      </c>
      <c r="I40" s="12"/>
      <c r="J40" s="12" t="n">
        <f aca="false">IF($X$3=0,"-",ROUND($X$6,2))</f>
        <v>1038.24</v>
      </c>
      <c r="K40" s="12"/>
      <c r="L40" s="12" t="n">
        <f aca="false">IF($X$3=0,"-",ROUND($X$7,2))</f>
        <v>977.76</v>
      </c>
      <c r="M40" s="12"/>
      <c r="N40" s="12" t="n">
        <f aca="false">$X$3</f>
        <v>50</v>
      </c>
      <c r="O40" s="12"/>
      <c r="AA40" s="1" t="str">
        <f aca="false">IF(ROWS($AA$2:AA40)&lt;=$X$3,"M "&amp;ROWS($AA$2:AA40),NA())</f>
        <v>M 39</v>
      </c>
      <c r="AB40" s="6" t="n">
        <f aca="false">IF(ROWS($AA$2:AA40)&lt;=$X$3,IFERROR(INDEX('TABLA-PCPAL'!$G$2:$G$2000,MATCH($Q$2&amp;"|"&amp;($X$14+ROWS($AA$2:AA40)),'TABLA-PCPAL'!$U$2:$U$2000,0)),NA()),NA())</f>
        <v>935</v>
      </c>
      <c r="AC40" s="3" t="n">
        <f aca="false">IF(ROWS($AA$2:AA40)&lt;=$X$3,$X$6,NA())</f>
        <v>1038.24</v>
      </c>
      <c r="AD40" s="3" t="n">
        <f aca="false">IF(ROWS($AA$2:AA40)&lt;=$X$3,$X$7,NA())</f>
        <v>977.76</v>
      </c>
      <c r="AE40" s="3" t="n">
        <f aca="false">IF(ROWS($AA$2:AA40)&lt;=$X$3,$X$8,NA())</f>
        <v>1008</v>
      </c>
    </row>
    <row r="41" customFormat="false" ht="25.5" hidden="false" customHeight="true" outlineLevel="0" collapsed="false">
      <c r="B41" s="13" t="inlineStr">
        <is>
          <t>Nota: todos los cálculos y el gráfico usan solo los últimos registros de la placa seleccionada (óptimo 50, mínimo 25) para evaluar la tendencia del proceso actual; M 1 es el registro más antiguo de la muestra y el de número mayor, el más reciente. LCS y LCI son el promedio de los pesos máximo y mínimo de esa muestra; el Nominal/Óptimo es el promedio del Peso STD (gr).</t>
        </is>
      </c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AA41" s="1" t="str">
        <f aca="false">IF(ROWS($AA$2:AA41)&lt;=$X$3,"M "&amp;ROWS($AA$2:AA41),NA())</f>
        <v>M 40</v>
      </c>
      <c r="AB41" s="6" t="n">
        <f aca="false">IF(ROWS($AA$2:AA41)&lt;=$X$3,IFERROR(INDEX('TABLA-PCPAL'!$G$2:$G$2000,MATCH($Q$2&amp;"|"&amp;($X$14+ROWS($AA$2:AA41)),'TABLA-PCPAL'!$U$2:$U$2000,0)),NA()),NA())</f>
        <v>935</v>
      </c>
      <c r="AC41" s="3" t="n">
        <f aca="false">IF(ROWS($AA$2:AA41)&lt;=$X$3,$X$6,NA())</f>
        <v>1038.24</v>
      </c>
      <c r="AD41" s="3" t="n">
        <f aca="false">IF(ROWS($AA$2:AA41)&lt;=$X$3,$X$7,NA())</f>
        <v>977.76</v>
      </c>
      <c r="AE41" s="3" t="n">
        <f aca="false">IF(ROWS($AA$2:AA41)&lt;=$X$3,$X$8,NA())</f>
        <v>1008</v>
      </c>
    </row>
    <row r="42" customFormat="false" ht="15" hidden="false" customHeight="false" outlineLevel="0" collapsed="false">
      <c r="AA42" s="1" t="str">
        <f aca="false">IF(ROWS($AA$2:AA42)&lt;=$X$3,"M "&amp;ROWS($AA$2:AA42),NA())</f>
        <v>M 41</v>
      </c>
      <c r="AB42" s="6" t="n">
        <f aca="false">IF(ROWS($AA$2:AA42)&lt;=$X$3,IFERROR(INDEX('TABLA-PCPAL'!$G$2:$G$2000,MATCH($Q$2&amp;"|"&amp;($X$14+ROWS($AA$2:AA42)),'TABLA-PCPAL'!$U$2:$U$2000,0)),NA()),NA())</f>
        <v>955</v>
      </c>
      <c r="AC42" s="3" t="n">
        <f aca="false">IF(ROWS($AA$2:AA42)&lt;=$X$3,$X$6,NA())</f>
        <v>1038.24</v>
      </c>
      <c r="AD42" s="3" t="n">
        <f aca="false">IF(ROWS($AA$2:AA42)&lt;=$X$3,$X$7,NA())</f>
        <v>977.76</v>
      </c>
      <c r="AE42" s="3" t="n">
        <f aca="false">IF(ROWS($AA$2:AA42)&lt;=$X$3,$X$8,NA())</f>
        <v>1008</v>
      </c>
    </row>
    <row r="43" customFormat="false" ht="15" hidden="false" customHeight="false" outlineLevel="0" collapsed="false">
      <c r="AA43" s="1" t="str">
        <f aca="false">IF(ROWS($AA$2:AA43)&lt;=$X$3,"M "&amp;ROWS($AA$2:AA43),NA())</f>
        <v>M 42</v>
      </c>
      <c r="AB43" s="6" t="n">
        <f aca="false">IF(ROWS($AA$2:AA43)&lt;=$X$3,IFERROR(INDEX('TABLA-PCPAL'!$G$2:$G$2000,MATCH($Q$2&amp;"|"&amp;($X$14+ROWS($AA$2:AA43)),'TABLA-PCPAL'!$U$2:$U$2000,0)),NA()),NA())</f>
        <v>955</v>
      </c>
      <c r="AC43" s="3" t="n">
        <f aca="false">IF(ROWS($AA$2:AA43)&lt;=$X$3,$X$6,NA())</f>
        <v>1038.24</v>
      </c>
      <c r="AD43" s="3" t="n">
        <f aca="false">IF(ROWS($AA$2:AA43)&lt;=$X$3,$X$7,NA())</f>
        <v>977.76</v>
      </c>
      <c r="AE43" s="3" t="n">
        <f aca="false">IF(ROWS($AA$2:AA43)&lt;=$X$3,$X$8,NA())</f>
        <v>1008</v>
      </c>
    </row>
    <row r="44" customFormat="false" ht="15" hidden="false" customHeight="false" outlineLevel="0" collapsed="false">
      <c r="AA44" s="1" t="str">
        <f aca="false">IF(ROWS($AA$2:AA44)&lt;=$X$3,"M "&amp;ROWS($AA$2:AA44),NA())</f>
        <v>M 43</v>
      </c>
      <c r="AB44" s="6" t="n">
        <f aca="false">IF(ROWS($AA$2:AA44)&lt;=$X$3,IFERROR(INDEX('TABLA-PCPAL'!$G$2:$G$2000,MATCH($Q$2&amp;"|"&amp;($X$14+ROWS($AA$2:AA44)),'TABLA-PCPAL'!$U$2:$U$2000,0)),NA()),NA())</f>
        <v>955</v>
      </c>
      <c r="AC44" s="3" t="n">
        <f aca="false">IF(ROWS($AA$2:AA44)&lt;=$X$3,$X$6,NA())</f>
        <v>1038.24</v>
      </c>
      <c r="AD44" s="3" t="n">
        <f aca="false">IF(ROWS($AA$2:AA44)&lt;=$X$3,$X$7,NA())</f>
        <v>977.76</v>
      </c>
      <c r="AE44" s="3" t="n">
        <f aca="false">IF(ROWS($AA$2:AA44)&lt;=$X$3,$X$8,NA())</f>
        <v>1008</v>
      </c>
    </row>
    <row r="45" customFormat="false" ht="15" hidden="false" customHeight="false" outlineLevel="0" collapsed="false">
      <c r="AA45" s="1" t="str">
        <f aca="false">IF(ROWS($AA$2:AA45)&lt;=$X$3,"M "&amp;ROWS($AA$2:AA45),NA())</f>
        <v>M 44</v>
      </c>
      <c r="AB45" s="6" t="n">
        <f aca="false">IF(ROWS($AA$2:AA45)&lt;=$X$3,IFERROR(INDEX('TABLA-PCPAL'!$G$2:$G$2000,MATCH($Q$2&amp;"|"&amp;($X$14+ROWS($AA$2:AA45)),'TABLA-PCPAL'!$U$2:$U$2000,0)),NA()),NA())</f>
        <v>955</v>
      </c>
      <c r="AC45" s="3" t="n">
        <f aca="false">IF(ROWS($AA$2:AA45)&lt;=$X$3,$X$6,NA())</f>
        <v>1038.24</v>
      </c>
      <c r="AD45" s="3" t="n">
        <f aca="false">IF(ROWS($AA$2:AA45)&lt;=$X$3,$X$7,NA())</f>
        <v>977.76</v>
      </c>
      <c r="AE45" s="3" t="n">
        <f aca="false">IF(ROWS($AA$2:AA45)&lt;=$X$3,$X$8,NA())</f>
        <v>1008</v>
      </c>
    </row>
    <row r="46" customFormat="false" ht="15" hidden="false" customHeight="false" outlineLevel="0" collapsed="false">
      <c r="AA46" s="1" t="str">
        <f aca="false">IF(ROWS($AA$2:AA46)&lt;=$X$3,"M "&amp;ROWS($AA$2:AA46),NA())</f>
        <v>M 45</v>
      </c>
      <c r="AB46" s="6" t="n">
        <f aca="false">IF(ROWS($AA$2:AA46)&lt;=$X$3,IFERROR(INDEX('TABLA-PCPAL'!$G$2:$G$2000,MATCH($Q$2&amp;"|"&amp;($X$14+ROWS($AA$2:AA46)),'TABLA-PCPAL'!$U$2:$U$2000,0)),NA()),NA())</f>
        <v>960</v>
      </c>
      <c r="AC46" s="3" t="n">
        <f aca="false">IF(ROWS($AA$2:AA46)&lt;=$X$3,$X$6,NA())</f>
        <v>1038.24</v>
      </c>
      <c r="AD46" s="3" t="n">
        <f aca="false">IF(ROWS($AA$2:AA46)&lt;=$X$3,$X$7,NA())</f>
        <v>977.76</v>
      </c>
      <c r="AE46" s="3" t="n">
        <f aca="false">IF(ROWS($AA$2:AA46)&lt;=$X$3,$X$8,NA())</f>
        <v>1008</v>
      </c>
    </row>
    <row r="47" customFormat="false" ht="15" hidden="false" customHeight="false" outlineLevel="0" collapsed="false">
      <c r="AA47" s="1" t="str">
        <f aca="false">IF(ROWS($AA$2:AA47)&lt;=$X$3,"M "&amp;ROWS($AA$2:AA47),NA())</f>
        <v>M 46</v>
      </c>
      <c r="AB47" s="6" t="n">
        <f aca="false">IF(ROWS($AA$2:AA47)&lt;=$X$3,IFERROR(INDEX('TABLA-PCPAL'!$G$2:$G$2000,MATCH($Q$2&amp;"|"&amp;($X$14+ROWS($AA$2:AA47)),'TABLA-PCPAL'!$U$2:$U$2000,0)),NA()),NA())</f>
        <v>960</v>
      </c>
      <c r="AC47" s="3" t="n">
        <f aca="false">IF(ROWS($AA$2:AA47)&lt;=$X$3,$X$6,NA())</f>
        <v>1038.24</v>
      </c>
      <c r="AD47" s="3" t="n">
        <f aca="false">IF(ROWS($AA$2:AA47)&lt;=$X$3,$X$7,NA())</f>
        <v>977.76</v>
      </c>
      <c r="AE47" s="3" t="n">
        <f aca="false">IF(ROWS($AA$2:AA47)&lt;=$X$3,$X$8,NA())</f>
        <v>1008</v>
      </c>
    </row>
    <row r="48" customFormat="false" ht="15" hidden="false" customHeight="false" outlineLevel="0" collapsed="false">
      <c r="AA48" s="1" t="str">
        <f aca="false">IF(ROWS($AA$2:AA48)&lt;=$X$3,"M "&amp;ROWS($AA$2:AA48),NA())</f>
        <v>M 47</v>
      </c>
      <c r="AB48" s="6" t="n">
        <f aca="false">IF(ROWS($AA$2:AA48)&lt;=$X$3,IFERROR(INDEX('TABLA-PCPAL'!$G$2:$G$2000,MATCH($Q$2&amp;"|"&amp;($X$14+ROWS($AA$2:AA48)),'TABLA-PCPAL'!$U$2:$U$2000,0)),NA()),NA())</f>
        <v>960</v>
      </c>
      <c r="AC48" s="3" t="n">
        <f aca="false">IF(ROWS($AA$2:AA48)&lt;=$X$3,$X$6,NA())</f>
        <v>1038.24</v>
      </c>
      <c r="AD48" s="3" t="n">
        <f aca="false">IF(ROWS($AA$2:AA48)&lt;=$X$3,$X$7,NA())</f>
        <v>977.76</v>
      </c>
      <c r="AE48" s="3" t="n">
        <f aca="false">IF(ROWS($AA$2:AA48)&lt;=$X$3,$X$8,NA())</f>
        <v>1008</v>
      </c>
    </row>
    <row r="49" customFormat="false" ht="15" hidden="false" customHeight="false" outlineLevel="0" collapsed="false">
      <c r="AA49" s="1" t="str">
        <f aca="false">IF(ROWS($AA$2:AA49)&lt;=$X$3,"M "&amp;ROWS($AA$2:AA49),NA())</f>
        <v>M 48</v>
      </c>
      <c r="AB49" s="6" t="n">
        <f aca="false">IF(ROWS($AA$2:AA49)&lt;=$X$3,IFERROR(INDEX('TABLA-PCPAL'!$G$2:$G$2000,MATCH($Q$2&amp;"|"&amp;($X$14+ROWS($AA$2:AA49)),'TABLA-PCPAL'!$U$2:$U$2000,0)),NA()),NA())</f>
        <v>965</v>
      </c>
      <c r="AC49" s="3" t="n">
        <f aca="false">IF(ROWS($AA$2:AA49)&lt;=$X$3,$X$6,NA())</f>
        <v>1038.24</v>
      </c>
      <c r="AD49" s="3" t="n">
        <f aca="false">IF(ROWS($AA$2:AA49)&lt;=$X$3,$X$7,NA())</f>
        <v>977.76</v>
      </c>
      <c r="AE49" s="3" t="n">
        <f aca="false">IF(ROWS($AA$2:AA49)&lt;=$X$3,$X$8,NA())</f>
        <v>1008</v>
      </c>
    </row>
    <row r="50" customFormat="false" ht="15" hidden="false" customHeight="false" outlineLevel="0" collapsed="false">
      <c r="AA50" s="1" t="str">
        <f aca="false">IF(ROWS($AA$2:AA50)&lt;=$X$3,"M "&amp;ROWS($AA$2:AA50),NA())</f>
        <v>M 49</v>
      </c>
      <c r="AB50" s="6" t="n">
        <f aca="false">IF(ROWS($AA$2:AA50)&lt;=$X$3,IFERROR(INDEX('TABLA-PCPAL'!$G$2:$G$2000,MATCH($Q$2&amp;"|"&amp;($X$14+ROWS($AA$2:AA50)),'TABLA-PCPAL'!$U$2:$U$2000,0)),NA()),NA())</f>
        <v>960</v>
      </c>
      <c r="AC50" s="3" t="n">
        <f aca="false">IF(ROWS($AA$2:AA50)&lt;=$X$3,$X$6,NA())</f>
        <v>1038.24</v>
      </c>
      <c r="AD50" s="3" t="n">
        <f aca="false">IF(ROWS($AA$2:AA50)&lt;=$X$3,$X$7,NA())</f>
        <v>977.76</v>
      </c>
      <c r="AE50" s="3" t="n">
        <f aca="false">IF(ROWS($AA$2:AA50)&lt;=$X$3,$X$8,NA())</f>
        <v>1008</v>
      </c>
    </row>
    <row r="51" customFormat="false" ht="15" hidden="false" customHeight="false" outlineLevel="0" collapsed="false">
      <c r="AA51" s="1" t="str">
        <f aca="false">IF(ROWS($AA$2:AA51)&lt;=$X$3,"M "&amp;ROWS($AA$2:AA51),NA())</f>
        <v>M 50</v>
      </c>
      <c r="AB51" s="6" t="n">
        <f aca="false">IF(ROWS($AA$2:AA51)&lt;=$X$3,IFERROR(INDEX('TABLA-PCPAL'!$G$2:$G$2000,MATCH($Q$2&amp;"|"&amp;($X$14+ROWS($AA$2:AA51)),'TABLA-PCPAL'!$U$2:$U$2000,0)),NA()),NA())</f>
        <v>950</v>
      </c>
      <c r="AC51" s="3" t="n">
        <f aca="false">IF(ROWS($AA$2:AA51)&lt;=$X$3,$X$6,NA())</f>
        <v>1038.24</v>
      </c>
      <c r="AD51" s="3" t="n">
        <f aca="false">IF(ROWS($AA$2:AA51)&lt;=$X$3,$X$7,NA())</f>
        <v>977.76</v>
      </c>
      <c r="AE51" s="3" t="n">
        <f aca="false">IF(ROWS($AA$2:AA51)&lt;=$X$3,$X$8,NA())</f>
        <v>1008</v>
      </c>
    </row>
    <row r="52" customFormat="false" ht="15" hidden="false" customHeight="false" outlineLevel="0" collapsed="false"/>
    <row r="53" customFormat="false" ht="15" hidden="false" customHeight="false" outlineLevel="0" collapsed="false"/>
    <row r="54" customFormat="false" ht="15" hidden="false" customHeight="false" outlineLevel="0" collapsed="false"/>
    <row r="55" customFormat="false" ht="15" hidden="false" customHeight="false" outlineLevel="0" collapsed="false"/>
    <row r="56" customFormat="false" ht="15" hidden="false" customHeight="false" outlineLevel="0" collapsed="false"/>
    <row r="57" customFormat="false" ht="15" hidden="false" customHeight="false" outlineLevel="0" collapsed="false"/>
    <row r="58" customFormat="false" ht="15" hidden="false" customHeight="false" outlineLevel="0" collapsed="false"/>
    <row r="59" customFormat="false" ht="15" hidden="false" customHeight="false" outlineLevel="0" collapsed="false"/>
    <row r="60" customFormat="false" ht="15" hidden="false" customHeight="false" outlineLevel="0" collapsed="false"/>
    <row r="61" customFormat="false" ht="15" hidden="false" customHeight="false" outlineLevel="0" collapsed="false"/>
    <row r="62" customFormat="false" ht="15" hidden="false" customHeight="false" outlineLevel="0" collapsed="false"/>
    <row r="63" customFormat="false" ht="15" hidden="false" customHeight="false" outlineLevel="0" collapsed="false"/>
    <row r="64" customFormat="false" ht="15" hidden="false" customHeight="false" outlineLevel="0" collapsed="false"/>
    <row r="65" customFormat="false" ht="15" hidden="false" customHeight="false" outlineLevel="0" collapsed="false"/>
    <row r="66" customFormat="false" ht="15" hidden="false" customHeight="false" outlineLevel="0" collapsed="false"/>
    <row r="67" customFormat="false" ht="15" hidden="false" customHeight="false" outlineLevel="0" collapsed="false"/>
    <row r="68" customFormat="false" ht="15" hidden="false" customHeight="false" outlineLevel="0" collapsed="false"/>
    <row r="69" customFormat="false" ht="15" hidden="false" customHeight="false" outlineLevel="0" collapsed="false"/>
    <row r="70" customFormat="false" ht="15" hidden="false" customHeight="false" outlineLevel="0" collapsed="false"/>
    <row r="71" customFormat="false" ht="15" hidden="false" customHeight="false" outlineLevel="0" collapsed="false"/>
    <row r="72" customFormat="false" ht="15" hidden="false" customHeight="false" outlineLevel="0" collapsed="false"/>
    <row r="73" customFormat="false" ht="15" hidden="false" customHeight="false" outlineLevel="0" collapsed="false"/>
    <row r="74" customFormat="false" ht="15" hidden="false" customHeight="false" outlineLevel="0" collapsed="false"/>
    <row r="75" customFormat="false" ht="15" hidden="false" customHeight="false" outlineLevel="0" collapsed="false"/>
    <row r="76" customFormat="false" ht="15" hidden="false" customHeight="false" outlineLevel="0" collapsed="false"/>
    <row r="77" customFormat="false" ht="15" hidden="false" customHeight="false" outlineLevel="0" collapsed="false"/>
    <row r="78" customFormat="false" ht="15" hidden="false" customHeight="false" outlineLevel="0" collapsed="false"/>
    <row r="79" customFormat="false" ht="15" hidden="false" customHeight="false" outlineLevel="0" collapsed="false"/>
    <row r="80" customFormat="false" ht="15" hidden="false" customHeight="false" outlineLevel="0" collapsed="false"/>
    <row r="81" customFormat="false" ht="15" hidden="false" customHeight="false" outlineLevel="0" collapsed="false"/>
    <row r="82" customFormat="false" ht="15" hidden="false" customHeight="false" outlineLevel="0" collapsed="false"/>
    <row r="83" customFormat="false" ht="15" hidden="false" customHeight="false" outlineLevel="0" collapsed="false"/>
    <row r="84" customFormat="false" ht="15" hidden="false" customHeight="false" outlineLevel="0" collapsed="false"/>
    <row r="85" customFormat="false" ht="15" hidden="false" customHeight="false" outlineLevel="0" collapsed="false"/>
    <row r="86" customFormat="false" ht="15" hidden="false" customHeight="false" outlineLevel="0" collapsed="false"/>
    <row r="87" customFormat="false" ht="15" hidden="false" customHeight="false" outlineLevel="0" collapsed="false"/>
    <row r="88" customFormat="false" ht="15" hidden="false" customHeight="false" outlineLevel="0" collapsed="false"/>
    <row r="89" customFormat="false" ht="15" hidden="false" customHeight="false" outlineLevel="0" collapsed="false"/>
    <row r="90" customFormat="false" ht="15" hidden="false" customHeight="false" outlineLevel="0" collapsed="false"/>
    <row r="91" customFormat="false" ht="15" hidden="false" customHeight="false" outlineLevel="0" collapsed="false"/>
    <row r="92" customFormat="false" ht="15" hidden="false" customHeight="false" outlineLevel="0" collapsed="false"/>
    <row r="93" customFormat="false" ht="15" hidden="false" customHeight="false" outlineLevel="0" collapsed="false"/>
    <row r="94" customFormat="false" ht="15" hidden="false" customHeight="false" outlineLevel="0" collapsed="false"/>
    <row r="95" customFormat="false" ht="15" hidden="false" customHeight="false" outlineLevel="0" collapsed="false"/>
    <row r="96" customFormat="false" ht="15" hidden="false" customHeight="false" outlineLevel="0" collapsed="false"/>
    <row r="97" customFormat="false" ht="15" hidden="false" customHeight="false" outlineLevel="0" collapsed="false"/>
    <row r="98" customFormat="false" ht="15" hidden="false" customHeight="false" outlineLevel="0" collapsed="false"/>
    <row r="99" customFormat="false" ht="15" hidden="false" customHeight="false" outlineLevel="0" collapsed="false"/>
    <row r="100" customFormat="false" ht="15" hidden="false" customHeight="false" outlineLevel="0" collapsed="false"/>
    <row r="101" customFormat="false" ht="15" hidden="false" customHeight="false" outlineLevel="0" collapsed="false"/>
    <row r="102" customFormat="false" ht="15" hidden="false" customHeight="false" outlineLevel="0" collapsed="false"/>
    <row r="103" customFormat="false" ht="15" hidden="false" customHeight="false" outlineLevel="0" collapsed="false"/>
    <row r="104" customFormat="false" ht="15" hidden="false" customHeight="false" outlineLevel="0" collapsed="false"/>
    <row r="105" customFormat="false" ht="15" hidden="false" customHeight="false" outlineLevel="0" collapsed="false"/>
    <row r="106" customFormat="false" ht="15" hidden="false" customHeight="false" outlineLevel="0" collapsed="false"/>
    <row r="107" customFormat="false" ht="15" hidden="false" customHeight="false" outlineLevel="0" collapsed="false"/>
    <row r="108" customFormat="false" ht="15" hidden="false" customHeight="false" outlineLevel="0" collapsed="false"/>
    <row r="109" customFormat="false" ht="15" hidden="false" customHeight="false" outlineLevel="0" collapsed="false"/>
    <row r="110" customFormat="false" ht="15" hidden="false" customHeight="false" outlineLevel="0" collapsed="false"/>
    <row r="111" customFormat="false" ht="15" hidden="false" customHeight="false" outlineLevel="0" collapsed="false"/>
    <row r="112" customFormat="false" ht="15" hidden="false" customHeight="false" outlineLevel="0" collapsed="false"/>
    <row r="113" customFormat="false" ht="15" hidden="false" customHeight="false" outlineLevel="0" collapsed="false"/>
    <row r="114" customFormat="false" ht="15" hidden="false" customHeight="false" outlineLevel="0" collapsed="false"/>
    <row r="115" customFormat="false" ht="15" hidden="false" customHeight="false" outlineLevel="0" collapsed="false"/>
    <row r="116" customFormat="false" ht="15" hidden="false" customHeight="false" outlineLevel="0" collapsed="false"/>
    <row r="117" customFormat="false" ht="15" hidden="false" customHeight="false" outlineLevel="0" collapsed="false"/>
    <row r="118" customFormat="false" ht="15" hidden="false" customHeight="false" outlineLevel="0" collapsed="false"/>
    <row r="119" customFormat="false" ht="15" hidden="false" customHeight="false" outlineLevel="0" collapsed="false"/>
    <row r="120" customFormat="false" ht="15" hidden="false" customHeight="false" outlineLevel="0" collapsed="false"/>
    <row r="121" customFormat="false" ht="15" hidden="false" customHeight="false" outlineLevel="0" collapsed="false"/>
    <row r="122" customFormat="false" ht="15" hidden="false" customHeight="false" outlineLevel="0" collapsed="false"/>
    <row r="123" customFormat="false" ht="15" hidden="false" customHeight="false" outlineLevel="0" collapsed="false"/>
    <row r="124" customFormat="false" ht="15" hidden="false" customHeight="false" outlineLevel="0" collapsed="false"/>
    <row r="125" customFormat="false" ht="15" hidden="false" customHeight="false" outlineLevel="0" collapsed="false"/>
    <row r="126" customFormat="false" ht="15" hidden="false" customHeight="false" outlineLevel="0" collapsed="false"/>
    <row r="127" customFormat="false" ht="15" hidden="false" customHeight="false" outlineLevel="0" collapsed="false"/>
    <row r="128" customFormat="false" ht="15" hidden="false" customHeight="false" outlineLevel="0" collapsed="false"/>
    <row r="129" customFormat="false" ht="15" hidden="false" customHeight="false" outlineLevel="0" collapsed="false"/>
    <row r="130" customFormat="false" ht="15" hidden="false" customHeight="false" outlineLevel="0" collapsed="false"/>
    <row r="131" customFormat="false" ht="15" hidden="false" customHeight="false" outlineLevel="0" collapsed="false"/>
    <row r="132" customFormat="false" ht="15" hidden="false" customHeight="false" outlineLevel="0" collapsed="false"/>
    <row r="133" customFormat="false" ht="15" hidden="false" customHeight="false" outlineLevel="0" collapsed="false"/>
    <row r="134" customFormat="false" ht="15" hidden="false" customHeight="false" outlineLevel="0" collapsed="false"/>
    <row r="135" customFormat="false" ht="15" hidden="false" customHeight="false" outlineLevel="0" collapsed="false"/>
    <row r="136" customFormat="false" ht="15" hidden="false" customHeight="false" outlineLevel="0" collapsed="false"/>
    <row r="137" customFormat="false" ht="15" hidden="false" customHeight="false" outlineLevel="0" collapsed="false"/>
    <row r="138" customFormat="false" ht="15" hidden="false" customHeight="false" outlineLevel="0" collapsed="false"/>
    <row r="139" customFormat="false" ht="15" hidden="false" customHeight="false" outlineLevel="0" collapsed="false"/>
    <row r="140" customFormat="false" ht="15" hidden="false" customHeight="false" outlineLevel="0" collapsed="false"/>
    <row r="141" customFormat="false" ht="15" hidden="false" customHeight="false" outlineLevel="0" collapsed="false"/>
    <row r="142" customFormat="false" ht="15" hidden="false" customHeight="false" outlineLevel="0" collapsed="false"/>
    <row r="143" customFormat="false" ht="15" hidden="false" customHeight="false" outlineLevel="0" collapsed="false"/>
    <row r="144" customFormat="false" ht="15" hidden="false" customHeight="false" outlineLevel="0" collapsed="false"/>
    <row r="145" customFormat="false" ht="15" hidden="false" customHeight="false" outlineLevel="0" collapsed="false"/>
    <row r="146" customFormat="false" ht="15" hidden="false" customHeight="false" outlineLevel="0" collapsed="false"/>
    <row r="147" customFormat="false" ht="15" hidden="false" customHeight="false" outlineLevel="0" collapsed="false"/>
    <row r="148" customFormat="false" ht="15" hidden="false" customHeight="false" outlineLevel="0" collapsed="false"/>
    <row r="149" customFormat="false" ht="15" hidden="false" customHeight="false" outlineLevel="0" collapsed="false"/>
    <row r="150" customFormat="false" ht="15" hidden="false" customHeight="false" outlineLevel="0" collapsed="false"/>
    <row r="151" customFormat="false" ht="15" hidden="false" customHeight="false" outlineLevel="0" collapsed="false"/>
    <row r="152" customFormat="false" ht="15" hidden="false" customHeight="false" outlineLevel="0" collapsed="false"/>
    <row r="153" customFormat="false" ht="15" hidden="false" customHeight="false" outlineLevel="0" collapsed="false"/>
    <row r="154" customFormat="false" ht="15" hidden="false" customHeight="false" outlineLevel="0" collapsed="false"/>
    <row r="155" customFormat="false" ht="15" hidden="false" customHeight="false" outlineLevel="0" collapsed="false"/>
    <row r="156" customFormat="false" ht="15" hidden="false" customHeight="false" outlineLevel="0" collapsed="false"/>
    <row r="157" customFormat="false" ht="15" hidden="false" customHeight="false" outlineLevel="0" collapsed="false"/>
    <row r="158" customFormat="false" ht="15" hidden="false" customHeight="false" outlineLevel="0" collapsed="false"/>
    <row r="159" customFormat="false" ht="15" hidden="false" customHeight="false" outlineLevel="0" collapsed="false"/>
    <row r="160" customFormat="false" ht="15" hidden="false" customHeight="false" outlineLevel="0" collapsed="false"/>
    <row r="161" customFormat="false" ht="15" hidden="false" customHeight="false" outlineLevel="0" collapsed="false"/>
    <row r="162" customFormat="false" ht="15" hidden="false" customHeight="false" outlineLevel="0" collapsed="false"/>
    <row r="163" customFormat="false" ht="15" hidden="false" customHeight="false" outlineLevel="0" collapsed="false"/>
    <row r="164" customFormat="false" ht="15" hidden="false" customHeight="false" outlineLevel="0" collapsed="false"/>
    <row r="165" customFormat="false" ht="15" hidden="false" customHeight="false" outlineLevel="0" collapsed="false"/>
    <row r="166" customFormat="false" ht="15" hidden="false" customHeight="false" outlineLevel="0" collapsed="false"/>
    <row r="167" customFormat="false" ht="15" hidden="false" customHeight="false" outlineLevel="0" collapsed="false"/>
    <row r="168" customFormat="false" ht="15" hidden="false" customHeight="false" outlineLevel="0" collapsed="false"/>
    <row r="169" customFormat="false" ht="15" hidden="false" customHeight="false" outlineLevel="0" collapsed="false"/>
    <row r="170" customFormat="false" ht="15" hidden="false" customHeight="false" outlineLevel="0" collapsed="false"/>
    <row r="171" customFormat="false" ht="15" hidden="false" customHeight="false" outlineLevel="0" collapsed="false"/>
    <row r="172" customFormat="false" ht="15" hidden="false" customHeight="false" outlineLevel="0" collapsed="false"/>
    <row r="173" customFormat="false" ht="15" hidden="false" customHeight="false" outlineLevel="0" collapsed="false"/>
    <row r="174" customFormat="false" ht="15" hidden="false" customHeight="false" outlineLevel="0" collapsed="false"/>
    <row r="175" customFormat="false" ht="15" hidden="false" customHeight="false" outlineLevel="0" collapsed="false"/>
    <row r="176" customFormat="false" ht="15" hidden="false" customHeight="false" outlineLevel="0" collapsed="false"/>
    <row r="177" customFormat="false" ht="15" hidden="false" customHeight="false" outlineLevel="0" collapsed="false"/>
    <row r="178" customFormat="false" ht="15" hidden="false" customHeight="false" outlineLevel="0" collapsed="false"/>
    <row r="179" customFormat="false" ht="15" hidden="false" customHeight="false" outlineLevel="0" collapsed="false"/>
    <row r="180" customFormat="false" ht="15" hidden="false" customHeight="false" outlineLevel="0" collapsed="false"/>
    <row r="181" customFormat="false" ht="15" hidden="false" customHeight="false" outlineLevel="0" collapsed="false"/>
    <row r="182" customFormat="false" ht="15" hidden="false" customHeight="false" outlineLevel="0" collapsed="false"/>
    <row r="183" customFormat="false" ht="15" hidden="false" customHeight="false" outlineLevel="0" collapsed="false"/>
    <row r="184" customFormat="false" ht="15" hidden="false" customHeight="false" outlineLevel="0" collapsed="false"/>
    <row r="185" customFormat="false" ht="15" hidden="false" customHeight="false" outlineLevel="0" collapsed="false"/>
    <row r="186" customFormat="false" ht="15" hidden="false" customHeight="false" outlineLevel="0" collapsed="false"/>
    <row r="187" customFormat="false" ht="15" hidden="false" customHeight="false" outlineLevel="0" collapsed="false"/>
    <row r="188" customFormat="false" ht="15" hidden="false" customHeight="false" outlineLevel="0" collapsed="false"/>
    <row r="189" customFormat="false" ht="15" hidden="false" customHeight="false" outlineLevel="0" collapsed="false"/>
    <row r="190" customFormat="false" ht="15" hidden="false" customHeight="false" outlineLevel="0" collapsed="false"/>
    <row r="191" customFormat="false" ht="15" hidden="false" customHeight="false" outlineLevel="0" collapsed="false"/>
    <row r="192" customFormat="false" ht="15" hidden="false" customHeight="false" outlineLevel="0" collapsed="false"/>
    <row r="193" customFormat="false" ht="15" hidden="false" customHeight="false" outlineLevel="0" collapsed="false"/>
    <row r="194" customFormat="false" ht="15" hidden="false" customHeight="false" outlineLevel="0" collapsed="false"/>
    <row r="195" customFormat="false" ht="15" hidden="false" customHeight="false" outlineLevel="0" collapsed="false"/>
    <row r="196" customFormat="false" ht="15" hidden="false" customHeight="false" outlineLevel="0" collapsed="false"/>
    <row r="197" customFormat="false" ht="15" hidden="false" customHeight="false" outlineLevel="0" collapsed="false"/>
    <row r="198" customFormat="false" ht="15" hidden="false" customHeight="false" outlineLevel="0" collapsed="false"/>
    <row r="199" customFormat="false" ht="15" hidden="false" customHeight="false" outlineLevel="0" collapsed="false"/>
    <row r="200" customFormat="false" ht="15" hidden="false" customHeight="false" outlineLevel="0" collapsed="false"/>
    <row r="201" customFormat="false" ht="15" hidden="false" customHeight="false" outlineLevel="0" collapsed="false"/>
    <row r="202" customFormat="false" ht="15" hidden="false" customHeight="false" outlineLevel="0" collapsed="false"/>
    <row r="203" customFormat="false" ht="15" hidden="false" customHeight="false" outlineLevel="0" collapsed="false"/>
    <row r="204" customFormat="false" ht="15" hidden="false" customHeight="false" outlineLevel="0" collapsed="false"/>
    <row r="205" customFormat="false" ht="15" hidden="false" customHeight="false" outlineLevel="0" collapsed="false"/>
    <row r="206" customFormat="false" ht="15" hidden="false" customHeight="false" outlineLevel="0" collapsed="false"/>
    <row r="207" customFormat="false" ht="15" hidden="false" customHeight="false" outlineLevel="0" collapsed="false"/>
    <row r="208" customFormat="false" ht="15" hidden="false" customHeight="false" outlineLevel="0" collapsed="false"/>
    <row r="209" customFormat="false" ht="15" hidden="false" customHeight="false" outlineLevel="0" collapsed="false"/>
    <row r="210" customFormat="false" ht="15" hidden="false" customHeight="false" outlineLevel="0" collapsed="false"/>
    <row r="211" customFormat="false" ht="15" hidden="false" customHeight="false" outlineLevel="0" collapsed="false"/>
    <row r="212" customFormat="false" ht="15" hidden="false" customHeight="false" outlineLevel="0" collapsed="false"/>
    <row r="213" customFormat="false" ht="15" hidden="false" customHeight="false" outlineLevel="0" collapsed="false"/>
    <row r="214" customFormat="false" ht="15" hidden="false" customHeight="false" outlineLevel="0" collapsed="false"/>
    <row r="215" customFormat="false" ht="15" hidden="false" customHeight="false" outlineLevel="0" collapsed="false"/>
    <row r="216" customFormat="false" ht="15" hidden="false" customHeight="false" outlineLevel="0" collapsed="false"/>
    <row r="217" customFormat="false" ht="15" hidden="false" customHeight="false" outlineLevel="0" collapsed="false"/>
    <row r="218" customFormat="false" ht="15" hidden="false" customHeight="false" outlineLevel="0" collapsed="false"/>
    <row r="219" customFormat="false" ht="15" hidden="false" customHeight="false" outlineLevel="0" collapsed="false"/>
    <row r="220" customFormat="false" ht="15" hidden="false" customHeight="false" outlineLevel="0" collapsed="false"/>
    <row r="221" customFormat="false" ht="15" hidden="false" customHeight="false" outlineLevel="0" collapsed="false"/>
    <row r="222" customFormat="false" ht="15" hidden="false" customHeight="false" outlineLevel="0" collapsed="false"/>
    <row r="223" customFormat="false" ht="15" hidden="false" customHeight="false" outlineLevel="0" collapsed="false"/>
    <row r="224" customFormat="false" ht="15" hidden="false" customHeight="false" outlineLevel="0" collapsed="false"/>
    <row r="225" customFormat="false" ht="15" hidden="false" customHeight="false" outlineLevel="0" collapsed="false"/>
    <row r="226" customFormat="false" ht="15" hidden="false" customHeight="false" outlineLevel="0" collapsed="false"/>
    <row r="227" customFormat="false" ht="15" hidden="false" customHeight="false" outlineLevel="0" collapsed="false"/>
    <row r="228" customFormat="false" ht="15" hidden="false" customHeight="false" outlineLevel="0" collapsed="false"/>
    <row r="229" customFormat="false" ht="15" hidden="false" customHeight="false" outlineLevel="0" collapsed="false"/>
    <row r="230" customFormat="false" ht="15" hidden="false" customHeight="false" outlineLevel="0" collapsed="false"/>
    <row r="231" customFormat="false" ht="15" hidden="false" customHeight="false" outlineLevel="0" collapsed="false"/>
    <row r="232" customFormat="false" ht="15" hidden="false" customHeight="false" outlineLevel="0" collapsed="false"/>
    <row r="233" customFormat="false" ht="15" hidden="false" customHeight="false" outlineLevel="0" collapsed="false"/>
    <row r="234" customFormat="false" ht="15" hidden="false" customHeight="false" outlineLevel="0" collapsed="false"/>
    <row r="235" customFormat="false" ht="15" hidden="false" customHeight="false" outlineLevel="0" collapsed="false"/>
    <row r="236" customFormat="false" ht="15" hidden="false" customHeight="false" outlineLevel="0" collapsed="false"/>
    <row r="237" customFormat="false" ht="15" hidden="false" customHeight="false" outlineLevel="0" collapsed="false"/>
    <row r="238" customFormat="false" ht="15" hidden="false" customHeight="false" outlineLevel="0" collapsed="false"/>
    <row r="239" customFormat="false" ht="15" hidden="false" customHeight="false" outlineLevel="0" collapsed="false"/>
    <row r="240" customFormat="false" ht="15" hidden="false" customHeight="false" outlineLevel="0" collapsed="false"/>
    <row r="241" customFormat="false" ht="15" hidden="false" customHeight="false" outlineLevel="0" collapsed="false"/>
    <row r="242" customFormat="false" ht="15" hidden="false" customHeight="false" outlineLevel="0" collapsed="false"/>
    <row r="243" customFormat="false" ht="15" hidden="false" customHeight="false" outlineLevel="0" collapsed="false"/>
    <row r="244" customFormat="false" ht="15" hidden="false" customHeight="false" outlineLevel="0" collapsed="false"/>
    <row r="245" customFormat="false" ht="15" hidden="false" customHeight="false" outlineLevel="0" collapsed="false"/>
    <row r="246" customFormat="false" ht="15" hidden="false" customHeight="false" outlineLevel="0" collapsed="false"/>
    <row r="247" customFormat="false" ht="15" hidden="false" customHeight="false" outlineLevel="0" collapsed="false"/>
    <row r="248" customFormat="false" ht="15" hidden="false" customHeight="false" outlineLevel="0" collapsed="false"/>
    <row r="249" customFormat="false" ht="15" hidden="false" customHeight="false" outlineLevel="0" collapsed="false"/>
    <row r="250" customFormat="false" ht="15" hidden="false" customHeight="false" outlineLevel="0" collapsed="false"/>
    <row r="251" customFormat="false" ht="15" hidden="false" customHeight="false" outlineLevel="0" collapsed="false"/>
    <row r="252" customFormat="false" ht="15" hidden="false" customHeight="false" outlineLevel="0" collapsed="false"/>
    <row r="253" customFormat="false" ht="15" hidden="false" customHeight="false" outlineLevel="0" collapsed="false"/>
    <row r="254" customFormat="false" ht="15" hidden="false" customHeight="false" outlineLevel="0" collapsed="false"/>
    <row r="255" customFormat="false" ht="15" hidden="false" customHeight="false" outlineLevel="0" collapsed="false"/>
    <row r="256" customFormat="false" ht="15" hidden="false" customHeight="false" outlineLevel="0" collapsed="false"/>
    <row r="257" customFormat="false" ht="15" hidden="false" customHeight="false" outlineLevel="0" collapsed="false"/>
    <row r="258" customFormat="false" ht="15" hidden="false" customHeight="false" outlineLevel="0" collapsed="false"/>
    <row r="259" customFormat="false" ht="15" hidden="false" customHeight="false" outlineLevel="0" collapsed="false"/>
    <row r="260" customFormat="false" ht="15" hidden="false" customHeight="false" outlineLevel="0" collapsed="false"/>
    <row r="261" customFormat="false" ht="15" hidden="false" customHeight="false" outlineLevel="0" collapsed="false"/>
    <row r="262" customFormat="false" ht="15" hidden="false" customHeight="false" outlineLevel="0" collapsed="false"/>
    <row r="263" customFormat="false" ht="15" hidden="false" customHeight="false" outlineLevel="0" collapsed="false"/>
    <row r="264" customFormat="false" ht="15" hidden="false" customHeight="false" outlineLevel="0" collapsed="false"/>
    <row r="265" customFormat="false" ht="15" hidden="false" customHeight="false" outlineLevel="0" collapsed="false"/>
    <row r="266" customFormat="false" ht="15" hidden="false" customHeight="false" outlineLevel="0" collapsed="false"/>
    <row r="267" customFormat="false" ht="15" hidden="false" customHeight="false" outlineLevel="0" collapsed="false"/>
    <row r="268" customFormat="false" ht="15" hidden="false" customHeight="false" outlineLevel="0" collapsed="false"/>
    <row r="269" customFormat="false" ht="15" hidden="false" customHeight="false" outlineLevel="0" collapsed="false"/>
    <row r="270" customFormat="false" ht="15" hidden="false" customHeight="false" outlineLevel="0" collapsed="false"/>
    <row r="271" customFormat="false" ht="15" hidden="false" customHeight="false" outlineLevel="0" collapsed="false"/>
    <row r="272" customFormat="false" ht="15" hidden="false" customHeight="false" outlineLevel="0" collapsed="false"/>
    <row r="273" customFormat="false" ht="15" hidden="false" customHeight="false" outlineLevel="0" collapsed="false"/>
    <row r="274" customFormat="false" ht="15" hidden="false" customHeight="false" outlineLevel="0" collapsed="false"/>
    <row r="275" customFormat="false" ht="15" hidden="false" customHeight="false" outlineLevel="0" collapsed="false"/>
    <row r="276" customFormat="false" ht="15" hidden="false" customHeight="false" outlineLevel="0" collapsed="false"/>
    <row r="277" customFormat="false" ht="15" hidden="false" customHeight="false" outlineLevel="0" collapsed="false"/>
    <row r="278" customFormat="false" ht="15" hidden="false" customHeight="false" outlineLevel="0" collapsed="false"/>
    <row r="279" customFormat="false" ht="15" hidden="false" customHeight="false" outlineLevel="0" collapsed="false"/>
    <row r="280" customFormat="false" ht="15" hidden="false" customHeight="false" outlineLevel="0" collapsed="false"/>
    <row r="281" customFormat="false" ht="15" hidden="false" customHeight="false" outlineLevel="0" collapsed="false"/>
    <row r="282" customFormat="false" ht="15" hidden="false" customHeight="false" outlineLevel="0" collapsed="false"/>
    <row r="283" customFormat="false" ht="15" hidden="false" customHeight="false" outlineLevel="0" collapsed="false"/>
    <row r="284" customFormat="false" ht="15" hidden="false" customHeight="false" outlineLevel="0" collapsed="false"/>
    <row r="285" customFormat="false" ht="15" hidden="false" customHeight="false" outlineLevel="0" collapsed="false"/>
    <row r="286" customFormat="false" ht="15" hidden="false" customHeight="false" outlineLevel="0" collapsed="false"/>
    <row r="287" customFormat="false" ht="15" hidden="false" customHeight="false" outlineLevel="0" collapsed="false"/>
    <row r="288" customFormat="false" ht="15" hidden="false" customHeight="false" outlineLevel="0" collapsed="false"/>
    <row r="289" customFormat="false" ht="15" hidden="false" customHeight="false" outlineLevel="0" collapsed="false"/>
    <row r="290" customFormat="false" ht="15" hidden="false" customHeight="false" outlineLevel="0" collapsed="false"/>
    <row r="291" customFormat="false" ht="15" hidden="false" customHeight="false" outlineLevel="0" collapsed="false"/>
    <row r="292" customFormat="false" ht="15" hidden="false" customHeight="false" outlineLevel="0" collapsed="false"/>
    <row r="293" customFormat="false" ht="15" hidden="false" customHeight="false" outlineLevel="0" collapsed="false"/>
    <row r="294" customFormat="false" ht="15" hidden="false" customHeight="false" outlineLevel="0" collapsed="false"/>
    <row r="295" customFormat="false" ht="15" hidden="false" customHeight="false" outlineLevel="0" collapsed="false"/>
    <row r="296" customFormat="false" ht="15" hidden="false" customHeight="false" outlineLevel="0" collapsed="false"/>
    <row r="297" customFormat="false" ht="15" hidden="false" customHeight="false" outlineLevel="0" collapsed="false"/>
    <row r="298" customFormat="false" ht="15" hidden="false" customHeight="false" outlineLevel="0" collapsed="false"/>
    <row r="299" customFormat="false" ht="15" hidden="false" customHeight="false" outlineLevel="0" collapsed="false"/>
    <row r="300" customFormat="false" ht="15" hidden="false" customHeight="false" outlineLevel="0" collapsed="false"/>
    <row r="301" customFormat="false" ht="15" hidden="false" customHeight="false" outlineLevel="0" collapsed="false"/>
  </sheetData>
  <sheetProtection algorithmName="SHA-512" hashValue="UP8w4jqTey6bcbBbu7eu9G92skJ+ascp6Ql8RoVHKNQjSaWCnur903i5tWdXaOygyj317+CzS9AjC6iIBmp0mw==" saltValue="6OjG8nbeRJnR8IErxeckTA==" spinCount="100000" sheet="true" objects="false" scenarios="true"/>
  <mergeCells count="20">
    <mergeCell ref="B1:U1"/>
    <mergeCell ref="N2:P3"/>
    <mergeCell ref="Q2:S3"/>
    <mergeCell ref="B5:U5"/>
    <mergeCell ref="B38:O38"/>
    <mergeCell ref="B39:C39"/>
    <mergeCell ref="D39:E39"/>
    <mergeCell ref="F39:G39"/>
    <mergeCell ref="H39:I39"/>
    <mergeCell ref="J39:K39"/>
    <mergeCell ref="L39:M39"/>
    <mergeCell ref="N39:O39"/>
    <mergeCell ref="B40:C40"/>
    <mergeCell ref="D40:E40"/>
    <mergeCell ref="F40:G40"/>
    <mergeCell ref="H40:I40"/>
    <mergeCell ref="J40:K40"/>
    <mergeCell ref="L40:M40"/>
    <mergeCell ref="N40:O40"/>
    <mergeCell ref="B41:O41"/>
  </mergeCells>
  <conditionalFormatting sqref="B5:U5">
    <cfRule type="expression" priority="2" aboveAverage="0" equalAverage="0" bottom="0" percent="0" rank="0" text="" dxfId="0">
      <formula>$X$3=0</formula>
    </cfRule>
    <cfRule type="expression" priority="3" aboveAverage="0" equalAverage="0" bottom="0" percent="0" rank="0" text="" dxfId="1">
      <formula>$X$3&lt;25</formula>
    </cfRule>
    <cfRule type="expression" priority="4" aboveAverage="0" equalAverage="0" bottom="0" percent="0" rank="0" text="" dxfId="2">
      <formula>AND($X$3&gt;=25,$X$3&lt;50)</formula>
    </cfRule>
    <cfRule type="expression" priority="5" aboveAverage="0" equalAverage="0" bottom="0" percent="0" rank="0" text="" dxfId="3">
      <formula>$X$3&gt;=50</formula>
    </cfRule>
  </conditionalFormatting>
  <dataValidations count="1">
    <dataValidation allowBlank="false" error="Seleccione un tipo de placa de la lista." errorStyle="stop" errorTitle="Valor inválido" operator="between" prompt="Seleccione el tipo de placa / modelo" promptTitle="Tipo de Placa" showDropDown="false" showErrorMessage="false" showInputMessage="false" sqref="Q2" type="list">
      <formula1>LISTADOS!$B$3:$B$7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tnCtrlPeso">
              <controlPr defaultSize="0" print="true" autoFill="0" autoPict="0" macro="Botones.IrACtrlPesoVisual">
                <anchor moveWithCells="true" sizeWithCells="false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4</xdr:col>
                    <xdr:colOff>2880</xdr:colOff>
                    <xdr:row>2</xdr:row>
                    <xdr:rowOff>276120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tnTablaPcpal">
              <controlPr defaultSize="0" print="true" autoFill="0" autoPict="0" macro="Botones.IrATablaPcpal">
                <anchor moveWithCells="true" sizeWithCells="false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8</xdr:col>
                    <xdr:colOff>3240</xdr:colOff>
                    <xdr:row>2</xdr:row>
                    <xdr:rowOff>276120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tnSalir">
              <controlPr defaultSize="0" print="true" autoFill="0" autoPict="0" macro="Botones.GuardarYSalir">
                <anchor moveWithCells="true" sizeWithCells="false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12</xdr:col>
                    <xdr:colOff>2880</xdr:colOff>
                    <xdr:row>2</xdr:row>
                    <xdr:rowOff>276120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C1E5F5"/>
    <pageSetUpPr fitToPage="false"/>
  </sheetPr>
  <dimension ref="B1:AR25"/>
  <sheetViews>
    <sheetView showFormulas="false" showGridLines="false" showRowColHeaders="true" showZeros="true" rightToLeft="false" tabSelected="true" showOutlineSymbols="true" defaultGridColor="true" view="normal" topLeftCell="B1" colorId="64" zoomScale="115" zoomScaleNormal="115" zoomScalePageLayoutView="100" workbookViewId="0">
      <pane xSplit="1" ySplit="8" topLeftCell="C14" activePane="bottomRight" state="frozen"/>
      <selection pane="topLeft" activeCell="B1" activeCellId="0" sqref="B1"/>
      <selection pane="topRight" activeCell="C1" activeCellId="0" sqref="C1"/>
      <selection pane="bottomLeft" activeCell="B14" activeCellId="0" sqref="B14"/>
      <selection pane="bottomRight" activeCell="P6" activeCellId="0" sqref="P6"/>
    </sheetView>
  </sheetViews>
  <sheetFormatPr defaultColWidth="10.5390625" defaultRowHeight="15" zeroHeight="false" outlineLevelRow="0" outlineLevelCol="0"/>
  <cols>
    <col collapsed="false" customWidth="true" hidden="true" outlineLevel="0" max="1" min="1" style="1" width="13"/>
    <col collapsed="false" customWidth="true" hidden="false" outlineLevel="0" max="2" min="2" style="1" width="15.14"/>
    <col collapsed="false" customWidth="true" hidden="false" outlineLevel="0" max="3" min="3" style="14" width="15.72"/>
    <col collapsed="false" customWidth="true" hidden="false" outlineLevel="0" max="4" min="4" style="1" width="6.71"/>
    <col collapsed="false" customWidth="true" hidden="false" outlineLevel="0" max="5" min="5" style="14" width="14.57"/>
    <col collapsed="false" customWidth="true" hidden="false" outlineLevel="0" max="6" min="6" style="15" width="9"/>
    <col collapsed="false" customWidth="true" hidden="false" outlineLevel="0" max="7" min="7" style="1" width="13"/>
    <col collapsed="false" customWidth="true" hidden="false" outlineLevel="0" max="8" min="8" style="1" width="10.71"/>
    <col collapsed="false" customWidth="true" hidden="false" outlineLevel="0" max="9" min="9" style="1" width="12.43"/>
    <col collapsed="false" customWidth="true" hidden="false" outlineLevel="0" max="10" min="10" style="1" width="4.14"/>
    <col collapsed="false" customWidth="true" hidden="false" outlineLevel="0" max="12" min="11" style="1" width="13.43"/>
    <col collapsed="false" customWidth="true" hidden="false" outlineLevel="0" max="13" min="13" style="16" width="1.57"/>
    <col collapsed="false" customWidth="true" hidden="false" outlineLevel="0" max="14" min="14" style="16" width="9"/>
    <col collapsed="false" customWidth="true" hidden="false" outlineLevel="0" max="20" min="15" style="1" width="9"/>
    <col collapsed="false" customWidth="true" hidden="false" outlineLevel="0" max="21" min="21" style="1" width="13"/>
  </cols>
  <sheetData>
    <row r="1" customFormat="false" ht="4.5" hidden="false" customHeight="true" outlineLevel="0" collapsed="false">
      <c r="B1" s="17"/>
      <c r="C1" s="18"/>
      <c r="D1" s="18"/>
      <c r="E1" s="18"/>
      <c r="F1" s="19"/>
      <c r="G1" s="18"/>
      <c r="H1" s="18"/>
      <c r="I1" s="18"/>
      <c r="J1" s="18"/>
      <c r="K1" s="18"/>
      <c r="L1" s="18"/>
      <c r="M1" s="20"/>
      <c r="N1" s="21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22"/>
    </row>
    <row r="2" customFormat="false" ht="15" hidden="false" customHeight="true" outlineLevel="0" collapsed="false">
      <c r="B2" s="23"/>
      <c r="C2" s="24" t="s">
        <v>21</v>
      </c>
      <c r="D2" s="24"/>
      <c r="E2" s="24"/>
      <c r="F2" s="24"/>
      <c r="G2" s="24"/>
      <c r="H2" s="25" t="s">
        <v>22</v>
      </c>
      <c r="I2" s="26" t="s">
        <v>23</v>
      </c>
      <c r="J2" s="26"/>
      <c r="K2" s="27" t="s">
        <v>24</v>
      </c>
      <c r="L2" s="27"/>
      <c r="M2" s="28"/>
      <c r="N2" s="29"/>
      <c r="Q2" s="30"/>
      <c r="R2" s="30"/>
      <c r="S2" s="30"/>
      <c r="T2" s="30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</row>
    <row r="3" customFormat="false" ht="15" hidden="false" customHeight="true" outlineLevel="0" collapsed="false">
      <c r="B3" s="31"/>
      <c r="C3" s="24"/>
      <c r="D3" s="24"/>
      <c r="E3" s="24"/>
      <c r="F3" s="24"/>
      <c r="G3" s="24"/>
      <c r="H3" s="32" t="s">
        <v>25</v>
      </c>
      <c r="I3" s="33" t="n">
        <f aca="false">+B9</f>
        <v>46287</v>
      </c>
      <c r="J3" s="33"/>
      <c r="K3" s="34" t="s">
        <v>26</v>
      </c>
      <c r="L3" s="34"/>
      <c r="M3" s="28"/>
      <c r="N3" s="35"/>
      <c r="Q3" s="30"/>
      <c r="R3" s="30"/>
      <c r="S3" s="30"/>
      <c r="T3" s="30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</row>
    <row r="4" customFormat="false" ht="15" hidden="false" customHeight="true" outlineLevel="0" collapsed="false">
      <c r="B4" s="36" t="s">
        <v>27</v>
      </c>
      <c r="C4" s="30"/>
      <c r="D4" s="37"/>
      <c r="E4" s="37"/>
      <c r="F4" s="38"/>
      <c r="G4" s="37"/>
      <c r="H4" s="37"/>
      <c r="I4" s="37"/>
      <c r="K4" s="39" t="s">
        <v>28</v>
      </c>
      <c r="L4" s="39"/>
      <c r="M4" s="28"/>
      <c r="N4" s="35"/>
      <c r="Q4" s="30"/>
      <c r="R4" s="30"/>
      <c r="S4" s="30"/>
      <c r="T4" s="30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</row>
    <row r="5" customFormat="false" ht="5.25" hidden="false" customHeight="true" outlineLevel="0" collapsed="false">
      <c r="B5" s="40"/>
      <c r="D5" s="14"/>
      <c r="F5" s="41"/>
      <c r="G5" s="14"/>
      <c r="H5" s="14"/>
      <c r="I5" s="14"/>
      <c r="J5" s="14"/>
      <c r="K5" s="14"/>
      <c r="L5" s="14"/>
      <c r="M5" s="28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22"/>
    </row>
    <row r="6" customFormat="false" ht="15" hidden="false" customHeight="false" outlineLevel="0" collapsed="false">
      <c r="B6" s="42"/>
      <c r="C6" s="29" t="s">
        <v>29</v>
      </c>
      <c r="D6" s="14"/>
      <c r="F6" s="41"/>
      <c r="G6" s="43"/>
      <c r="H6" s="14" t="s">
        <v>30</v>
      </c>
      <c r="I6" s="44"/>
      <c r="J6" s="21" t="s">
        <v>31</v>
      </c>
      <c r="K6" s="35"/>
      <c r="L6" s="35"/>
      <c r="M6" s="28"/>
      <c r="N6" s="45"/>
      <c r="O6" s="14"/>
      <c r="P6" s="14"/>
      <c r="U6" s="14"/>
      <c r="V6" s="14"/>
      <c r="W6" s="14"/>
      <c r="X6" s="14"/>
      <c r="Y6" s="14"/>
      <c r="Z6" s="14"/>
      <c r="AA6" s="14"/>
      <c r="AB6" s="14"/>
      <c r="AC6" s="14"/>
      <c r="AD6" s="22"/>
      <c r="AE6" s="22"/>
    </row>
    <row r="7" customFormat="false" ht="8.25" hidden="false" customHeight="true" outlineLevel="0" collapsed="false">
      <c r="B7" s="46"/>
      <c r="C7" s="47"/>
      <c r="D7" s="30"/>
      <c r="F7" s="48"/>
      <c r="G7" s="30"/>
      <c r="M7" s="49"/>
      <c r="AD7" s="14"/>
      <c r="AE7" s="14"/>
    </row>
    <row r="8" s="50" customFormat="true" ht="30.75" hidden="false" customHeight="true" outlineLevel="0" collapsed="false">
      <c r="B8" s="51" t="s">
        <v>32</v>
      </c>
      <c r="C8" s="52" t="s">
        <v>33</v>
      </c>
      <c r="D8" s="52" t="s">
        <v>34</v>
      </c>
      <c r="E8" s="52" t="s">
        <v>35</v>
      </c>
      <c r="F8" s="53" t="s">
        <v>36</v>
      </c>
      <c r="G8" s="52" t="s">
        <v>2</v>
      </c>
      <c r="H8" s="52" t="s">
        <v>37</v>
      </c>
      <c r="I8" s="54" t="s">
        <v>38</v>
      </c>
      <c r="K8" s="55" t="s">
        <v>39</v>
      </c>
      <c r="L8" s="55" t="s">
        <v>40</v>
      </c>
      <c r="M8" s="56"/>
      <c r="AD8" s="57"/>
      <c r="AE8" s="57"/>
    </row>
    <row r="9" customFormat="false" ht="30" hidden="false" customHeight="true" outlineLevel="0" collapsed="false">
      <c r="B9" s="58" t="n">
        <f aca="true">+TODAY()</f>
        <v>46287</v>
      </c>
      <c r="C9" s="59" t="s">
        <v>41</v>
      </c>
      <c r="D9" s="59" t="s">
        <v>42</v>
      </c>
      <c r="E9" s="60" t="s">
        <v>7</v>
      </c>
      <c r="F9" s="61" t="n">
        <v>0.375</v>
      </c>
      <c r="G9" s="62" t="n">
        <v>950</v>
      </c>
      <c r="H9" s="63" t="n">
        <f aca="false">IF(AH10="","",AH10*0.97)</f>
        <v>977.76</v>
      </c>
      <c r="I9" s="63" t="n">
        <f aca="false">IF(AH10="","",AH10*1.03)</f>
        <v>1038.24</v>
      </c>
      <c r="K9" s="64" t="n">
        <v>0</v>
      </c>
      <c r="L9" s="64" t="n">
        <v>0</v>
      </c>
      <c r="M9" s="49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29" t="s">
        <v>43</v>
      </c>
      <c r="AB9" s="21" t="str">
        <f aca="false">+B8</f>
        <v>Fecha</v>
      </c>
      <c r="AC9" s="21" t="str">
        <f aca="false">+C8</f>
        <v>Responsable</v>
      </c>
      <c r="AD9" s="21" t="str">
        <f aca="false">+D8</f>
        <v>turno (M/T)</v>
      </c>
      <c r="AE9" s="21" t="str">
        <f aca="false">+E8</f>
        <v>Placa</v>
      </c>
      <c r="AF9" s="65" t="str">
        <f aca="false">+F8</f>
        <v>Horario</v>
      </c>
      <c r="AG9" s="21" t="str">
        <f aca="false">+G8</f>
        <v>Peso (gr)</v>
      </c>
      <c r="AH9" s="66" t="s">
        <v>44</v>
      </c>
      <c r="AI9" s="21" t="str">
        <f aca="false">+H8</f>
        <v>Peso mínimo</v>
      </c>
      <c r="AJ9" s="21" t="str">
        <f aca="false">+I8</f>
        <v>Peso máximo</v>
      </c>
      <c r="AK9" s="67" t="str">
        <f aca="false">+B17</f>
        <v>Observaciones:</v>
      </c>
      <c r="AL9" s="68" t="str">
        <f aca="false">+C12</f>
        <v>GEOMETRÍA</v>
      </c>
      <c r="AM9" s="68" t="str">
        <f aca="false">+C13</f>
        <v>AUSENCIA DE COLOR VIOLETA</v>
      </c>
      <c r="AN9" s="68" t="str">
        <f aca="false">+C14</f>
        <v>EXCESO DE DESMOLDANTE</v>
      </c>
      <c r="AO9" s="68" t="str">
        <f aca="false">+G12</f>
        <v>BURBUJAS DE AIRE</v>
      </c>
      <c r="AP9" s="68" t="str">
        <f aca="false">+G13</f>
        <v>OTRO (aclarar observaciones)</v>
      </c>
      <c r="AQ9" s="21" t="str">
        <f aca="false">+K8</f>
        <v>SCRAP (Cant. Placas)</v>
      </c>
      <c r="AR9" s="21" t="str">
        <f aca="false">+L8</f>
        <v>Total (Cant. Placas)</v>
      </c>
    </row>
    <row r="10" customFormat="false" ht="15" hidden="false" customHeight="false" outlineLevel="0" collapsed="false">
      <c r="B10" s="40"/>
      <c r="D10" s="14"/>
      <c r="F10" s="14"/>
      <c r="G10" s="14"/>
      <c r="H10" s="14"/>
      <c r="I10" s="14"/>
      <c r="J10" s="14"/>
      <c r="K10" s="14"/>
      <c r="L10" s="14"/>
      <c r="M10" s="49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29" t="str">
        <f aca="false">+B9&amp;C9&amp;D9&amp;E9&amp;F9</f>
        <v>46287OTRO 1TMCLÁSICAS0.375</v>
      </c>
      <c r="AB10" s="69" t="n">
        <f aca="false">+B9</f>
        <v>46287</v>
      </c>
      <c r="AC10" s="21" t="str">
        <f aca="false">+C9</f>
        <v>OTRO 1</v>
      </c>
      <c r="AD10" s="21" t="str">
        <f aca="false">+D9</f>
        <v>TM</v>
      </c>
      <c r="AE10" s="70" t="str">
        <f aca="false">+E9</f>
        <v>CLÁSICAS</v>
      </c>
      <c r="AF10" s="70" t="n">
        <f aca="false">+F9</f>
        <v>0.375</v>
      </c>
      <c r="AG10" s="68" t="n">
        <f aca="false">+G9</f>
        <v>950</v>
      </c>
      <c r="AH10" s="71" t="n">
        <f aca="false">IF(E9="","",VLOOKUP(E9,'PESOS STD'!$B$5:$J$9,6,FALSE()))</f>
        <v>1008</v>
      </c>
      <c r="AI10" s="68" t="n">
        <f aca="false">+H9</f>
        <v>977.76</v>
      </c>
      <c r="AJ10" s="68" t="n">
        <f aca="false">+I9</f>
        <v>1038.24</v>
      </c>
      <c r="AK10" s="21" t="str">
        <f aca="false">IF(B18="","",B18)</f>
        <v/>
      </c>
      <c r="AL10" s="68" t="str">
        <f aca="false">+D12</f>
        <v>OK</v>
      </c>
      <c r="AM10" s="68" t="str">
        <f aca="false">+D13</f>
        <v>OK</v>
      </c>
      <c r="AN10" s="68" t="str">
        <f aca="false">+D14</f>
        <v>OK</v>
      </c>
      <c r="AO10" s="68" t="str">
        <f aca="false">+H12</f>
        <v>OK</v>
      </c>
      <c r="AP10" s="68" t="str">
        <f aca="false">+H13</f>
        <v>OK</v>
      </c>
      <c r="AQ10" s="21" t="n">
        <f aca="false">IF(K9="",0,K9)</f>
        <v>0</v>
      </c>
      <c r="AR10" s="21" t="n">
        <f aca="false">IF(L9="",0,L9)</f>
        <v>0</v>
      </c>
    </row>
    <row r="11" customFormat="false" ht="22.5" hidden="false" customHeight="true" outlineLevel="0" collapsed="false">
      <c r="B11" s="72" t="s">
        <v>45</v>
      </c>
      <c r="F11" s="14"/>
      <c r="J11" s="14"/>
      <c r="K11" s="14"/>
      <c r="L11" s="14"/>
      <c r="M11" s="49"/>
      <c r="O11" s="14"/>
      <c r="P11" s="14"/>
      <c r="Q11" s="14"/>
      <c r="R11" s="14"/>
      <c r="S11" s="14"/>
      <c r="T11" s="14"/>
      <c r="U11" s="14"/>
      <c r="V11" s="14"/>
      <c r="W11" s="14"/>
      <c r="Z11" s="14"/>
      <c r="AA11" s="14"/>
      <c r="AB11" s="14"/>
      <c r="AC11" s="14"/>
      <c r="AD11" s="14"/>
      <c r="AE11" s="14"/>
    </row>
    <row r="12" customFormat="false" ht="22.5" hidden="false" customHeight="true" outlineLevel="0" collapsed="false">
      <c r="B12" s="40"/>
      <c r="C12" s="73" t="s">
        <v>46</v>
      </c>
      <c r="D12" s="74" t="s">
        <v>47</v>
      </c>
      <c r="E12" s="21"/>
      <c r="F12" s="21"/>
      <c r="G12" s="73" t="s">
        <v>48</v>
      </c>
      <c r="H12" s="74" t="s">
        <v>47</v>
      </c>
      <c r="J12" s="14"/>
      <c r="K12" s="14"/>
      <c r="L12" s="14"/>
      <c r="M12" s="49"/>
      <c r="O12" s="14"/>
      <c r="P12" s="14"/>
      <c r="Q12" s="14"/>
      <c r="R12" s="14"/>
      <c r="S12" s="14"/>
      <c r="T12" s="14"/>
      <c r="U12" s="14"/>
      <c r="V12" s="14"/>
      <c r="W12" s="14"/>
      <c r="Z12" s="14"/>
      <c r="AA12" s="14"/>
      <c r="AB12" s="14"/>
      <c r="AC12" s="14"/>
      <c r="AD12" s="14"/>
      <c r="AE12" s="14"/>
    </row>
    <row r="13" customFormat="false" ht="24" hidden="false" customHeight="true" outlineLevel="0" collapsed="false">
      <c r="B13" s="40"/>
      <c r="C13" s="73" t="s">
        <v>49</v>
      </c>
      <c r="D13" s="74" t="s">
        <v>47</v>
      </c>
      <c r="E13" s="21"/>
      <c r="F13" s="21"/>
      <c r="G13" s="73" t="s">
        <v>50</v>
      </c>
      <c r="H13" s="74" t="s">
        <v>47</v>
      </c>
      <c r="I13" s="14"/>
      <c r="M13" s="49"/>
      <c r="O13" s="14"/>
      <c r="P13" s="14"/>
      <c r="Q13" s="14"/>
      <c r="R13" s="14"/>
      <c r="S13" s="14"/>
      <c r="T13" s="14"/>
      <c r="U13" s="14"/>
      <c r="V13" s="14"/>
      <c r="W13" s="14"/>
      <c r="Z13" s="14"/>
      <c r="AA13" s="14"/>
      <c r="AB13" s="14"/>
      <c r="AC13" s="14"/>
      <c r="AD13" s="14"/>
      <c r="AE13" s="14"/>
    </row>
    <row r="14" customFormat="false" ht="24" hidden="false" customHeight="true" outlineLevel="0" collapsed="false">
      <c r="B14" s="40"/>
      <c r="C14" s="73" t="s">
        <v>51</v>
      </c>
      <c r="D14" s="74" t="s">
        <v>47</v>
      </c>
      <c r="E14" s="21"/>
      <c r="F14" s="21"/>
      <c r="I14" s="14"/>
      <c r="M14" s="49"/>
      <c r="O14" s="14"/>
      <c r="P14" s="14"/>
      <c r="Q14" s="14"/>
      <c r="R14" s="14"/>
      <c r="S14" s="14"/>
      <c r="T14" s="14"/>
      <c r="U14" s="14"/>
      <c r="V14" s="14"/>
      <c r="W14" s="14"/>
      <c r="Z14" s="14"/>
      <c r="AA14" s="14"/>
      <c r="AB14" s="14"/>
      <c r="AC14" s="14"/>
      <c r="AD14" s="14"/>
      <c r="AE14" s="14"/>
    </row>
    <row r="15" customFormat="false" ht="15" hidden="false" customHeight="false" outlineLevel="0" collapsed="false">
      <c r="B15" s="40"/>
      <c r="D15" s="14"/>
      <c r="F15" s="75"/>
      <c r="G15" s="14" t="s">
        <v>47</v>
      </c>
      <c r="H15" s="43"/>
      <c r="I15" s="14" t="s">
        <v>52</v>
      </c>
      <c r="M15" s="49"/>
      <c r="O15" s="14"/>
      <c r="P15" s="14"/>
      <c r="Q15" s="14"/>
      <c r="R15" s="14"/>
      <c r="S15" s="14"/>
      <c r="T15" s="14"/>
      <c r="U15" s="14"/>
      <c r="V15" s="14"/>
      <c r="W15" s="14"/>
      <c r="Z15" s="14"/>
      <c r="AA15" s="14"/>
      <c r="AB15" s="14"/>
      <c r="AC15" s="14"/>
      <c r="AD15" s="14"/>
      <c r="AE15" s="14"/>
    </row>
    <row r="16" customFormat="false" ht="15.75" hidden="false" customHeight="true" outlineLevel="0" collapsed="false">
      <c r="B16" s="40"/>
      <c r="D16" s="14"/>
      <c r="F16" s="14"/>
      <c r="G16" s="14"/>
      <c r="H16" s="14"/>
      <c r="I16" s="14"/>
      <c r="J16" s="14"/>
      <c r="K16" s="14"/>
      <c r="L16" s="14"/>
      <c r="M16" s="49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</row>
    <row r="17" customFormat="false" ht="15.75" hidden="false" customHeight="true" outlineLevel="0" collapsed="false">
      <c r="B17" s="76" t="s">
        <v>53</v>
      </c>
      <c r="C17" s="77"/>
      <c r="D17" s="77"/>
      <c r="E17" s="77"/>
      <c r="F17" s="78"/>
      <c r="G17" s="77"/>
      <c r="H17" s="77"/>
      <c r="I17" s="77"/>
      <c r="J17" s="77"/>
      <c r="K17" s="77"/>
      <c r="L17" s="79"/>
      <c r="M17" s="49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</row>
    <row r="18" customFormat="false" ht="74.25" hidden="false" customHeight="true" outlineLevel="0" collapsed="false"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49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</row>
    <row r="19" customFormat="false" ht="15" hidden="false" customHeight="true" outlineLevel="0" collapsed="false">
      <c r="B19" s="81" t="s">
        <v>54</v>
      </c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49"/>
    </row>
    <row r="20" customFormat="false" ht="15" hidden="false" customHeight="false" outlineLevel="0" collapsed="false">
      <c r="B20" s="81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49"/>
    </row>
    <row r="21" customFormat="false" ht="15" hidden="false" customHeight="true" outlineLevel="0" collapsed="false">
      <c r="B21" s="82" t="s">
        <v>55</v>
      </c>
      <c r="C21" s="82"/>
      <c r="D21" s="82"/>
      <c r="E21" s="82"/>
      <c r="F21" s="82"/>
      <c r="G21" s="82"/>
      <c r="H21" s="82"/>
      <c r="I21" s="82"/>
      <c r="J21" s="82"/>
      <c r="K21" s="82"/>
      <c r="L21" s="82"/>
      <c r="M21" s="49"/>
    </row>
    <row r="22" customFormat="false" ht="15" hidden="false" customHeight="false" outlineLevel="0" collapsed="false">
      <c r="B22" s="82"/>
      <c r="C22" s="82"/>
      <c r="D22" s="82"/>
      <c r="E22" s="82"/>
      <c r="F22" s="82"/>
      <c r="G22" s="82"/>
      <c r="H22" s="82"/>
      <c r="I22" s="82"/>
      <c r="J22" s="82"/>
      <c r="K22" s="82"/>
      <c r="L22" s="82"/>
      <c r="M22" s="49"/>
    </row>
    <row r="23" customFormat="false" ht="15" hidden="false" customHeight="true" outlineLevel="0" collapsed="false">
      <c r="B23" s="82" t="s">
        <v>56</v>
      </c>
      <c r="C23" s="82"/>
      <c r="D23" s="82"/>
      <c r="E23" s="82"/>
      <c r="F23" s="82"/>
      <c r="G23" s="82"/>
      <c r="H23" s="82"/>
      <c r="I23" s="82"/>
      <c r="J23" s="82"/>
      <c r="K23" s="82"/>
      <c r="L23" s="82"/>
      <c r="M23" s="49"/>
    </row>
    <row r="24" customFormat="false" ht="15" hidden="false" customHeight="false" outlineLevel="0" collapsed="false">
      <c r="B24" s="82"/>
      <c r="C24" s="82"/>
      <c r="D24" s="82"/>
      <c r="E24" s="82"/>
      <c r="F24" s="82"/>
      <c r="G24" s="82"/>
      <c r="H24" s="82"/>
      <c r="I24" s="82"/>
      <c r="J24" s="82"/>
      <c r="K24" s="82"/>
      <c r="L24" s="82"/>
      <c r="M24" s="49"/>
    </row>
    <row r="25" customFormat="false" ht="8.25" hidden="false" customHeight="true" outlineLevel="0" collapsed="false">
      <c r="B25" s="83"/>
      <c r="C25" s="84"/>
      <c r="D25" s="85"/>
      <c r="E25" s="84"/>
      <c r="F25" s="86"/>
      <c r="G25" s="85"/>
      <c r="H25" s="85"/>
      <c r="I25" s="85"/>
      <c r="J25" s="85"/>
      <c r="K25" s="85"/>
      <c r="L25" s="85"/>
      <c r="M25" s="87"/>
    </row>
  </sheetData>
  <mergeCells count="10">
    <mergeCell ref="C2:G3"/>
    <mergeCell ref="I2:J2"/>
    <mergeCell ref="K2:L2"/>
    <mergeCell ref="I3:J3"/>
    <mergeCell ref="K3:L3"/>
    <mergeCell ref="K4:L4"/>
    <mergeCell ref="B18:L18"/>
    <mergeCell ref="B19:L20"/>
    <mergeCell ref="B21:L22"/>
    <mergeCell ref="B23:L24"/>
  </mergeCells>
  <conditionalFormatting sqref="G9">
    <cfRule type="cellIs" priority="2" operator="between" aboveAverage="0" equalAverage="0" bottom="0" percent="0" rank="0" text="" dxfId="4">
      <formula>$H$9</formula>
      <formula>$I$9</formula>
    </cfRule>
    <cfRule type="expression" priority="3" aboveAverage="0" equalAverage="0" bottom="0" percent="0" rank="0" text="" dxfId="5">
      <formula>G9=""</formula>
    </cfRule>
    <cfRule type="expression" priority="4" aboveAverage="0" equalAverage="0" bottom="0" percent="0" rank="0" text="" dxfId="6">
      <formula>G9&lt;($H9)</formula>
    </cfRule>
    <cfRule type="expression" priority="5" aboveAverage="0" equalAverage="0" bottom="0" percent="0" rank="0" text="" dxfId="7">
      <formula>G9&gt;($I9)</formula>
    </cfRule>
  </conditionalFormatting>
  <conditionalFormatting sqref="D12:D14 F9 H12:H13">
    <cfRule type="expression" priority="6" aboveAverage="0" equalAverage="0" bottom="0" percent="0" rank="0" text="" dxfId="5">
      <formula>D9=""</formula>
    </cfRule>
    <cfRule type="expression" priority="7" aboveAverage="0" equalAverage="0" bottom="0" percent="0" rank="0" text="" dxfId="4">
      <formula>D9="OK"</formula>
    </cfRule>
    <cfRule type="expression" priority="8" aboveAverage="0" equalAverage="0" bottom="0" percent="0" rank="0" text="" dxfId="7">
      <formula>D9="NO OK"</formula>
    </cfRule>
  </conditionalFormatting>
  <conditionalFormatting sqref="C12:C14 G12:G13">
    <cfRule type="expression" priority="9" aboveAverage="0" equalAverage="0" bottom="0" percent="0" rank="0" text="" dxfId="5">
      <formula>C12=""</formula>
    </cfRule>
    <cfRule type="expression" priority="10" aboveAverage="0" equalAverage="0" bottom="0" percent="0" rank="0" text="" dxfId="6">
      <formula>C12&lt;(#ref!*0.97)</formula>
    </cfRule>
    <cfRule type="expression" priority="11" aboveAverage="0" equalAverage="0" bottom="0" percent="0" rank="0" text="" dxfId="7">
      <formula>C12&gt;(#ref!*1.03)</formula>
    </cfRule>
  </conditionalFormatting>
  <dataValidations count="4">
    <dataValidation allowBlank="true" errorStyle="stop" operator="between" showDropDown="false" showErrorMessage="true" showInputMessage="true" sqref="F9" type="list">
      <formula1>INDIRECT(D9)</formula1>
      <formula2>0</formula2>
    </dataValidation>
    <dataValidation allowBlank="true" errorStyle="stop" operator="between" showDropDown="false" showErrorMessage="true" showInputMessage="true" sqref="G9" type="whole">
      <formula1>500</formula1>
      <formula2>1500</formula2>
    </dataValidation>
    <dataValidation allowBlank="true" errorStyle="stop" operator="between" showDropDown="false" showErrorMessage="true" showInputMessage="true" sqref="K9" type="whole">
      <formula1>0</formula1>
      <formula2>20</formula2>
    </dataValidation>
    <dataValidation allowBlank="true" errorStyle="stop" operator="between" showDropDown="false" showErrorMessage="true" showInputMessage="true" sqref="L9" type="whole">
      <formula1>0</formula1>
      <formula2>500</formula2>
    </dataValidation>
  </dataValidations>
  <printOptions headings="false" gridLines="false" gridLinesSet="true" horizontalCentered="true" verticalCentered="true"/>
  <pageMargins left="0.236111111111111" right="0.236111111111111" top="0.39375" bottom="0.39375" header="0.511811023622047" footer="0.511811023622047"/>
  <pageSetup paperSize="9" scale="115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4" name="Button 12">
              <controlPr defaultSize="0" print="true" autoFill="0" autoPict="0" macro="Módulo1.SAVE_PESO_CV">
                <anchor moveWithCells="true" sizeWithCells="false">
                  <from>
                    <xdr:col>10</xdr:col>
                    <xdr:colOff>304920</xdr:colOff>
                    <xdr:row>10</xdr:row>
                    <xdr:rowOff>257040</xdr:rowOff>
                  </from>
                  <to>
                    <xdr:col>11</xdr:col>
                    <xdr:colOff>428760</xdr:colOff>
                    <xdr:row>11</xdr:row>
                    <xdr:rowOff>285480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12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1" ySplit="1" topLeftCell="B11" activePane="bottomRight" state="frozen"/>
      <selection pane="topLeft" activeCell="A1" activeCellId="0" sqref="A1"/>
      <selection pane="topRight" activeCell="B1" activeCellId="0" sqref="B1"/>
      <selection pane="bottomLeft" activeCell="A11" activeCellId="0" sqref="A11"/>
      <selection pane="bottomRight" activeCell="E1" activeCellId="0" sqref="E1"/>
    </sheetView>
  </sheetViews>
  <sheetFormatPr defaultColWidth="9.14453125" defaultRowHeight="15" zeroHeight="false" outlineLevelRow="0" outlineLevelCol="0"/>
  <cols>
    <col collapsed="false" customWidth="true" hidden="false" outlineLevel="0" max="1" min="1" style="21" width="15.43"/>
    <col collapsed="false" customWidth="true" hidden="false" outlineLevel="0" max="2" min="2" style="88" width="15.43"/>
    <col collapsed="false" customWidth="true" hidden="false" outlineLevel="0" max="5" min="3" style="21" width="15.43"/>
    <col collapsed="false" customWidth="true" hidden="false" outlineLevel="0" max="6" min="6" style="70" width="15.43"/>
    <col collapsed="false" customWidth="true" hidden="false" outlineLevel="0" max="10" min="7" style="68" width="15.43"/>
    <col collapsed="false" customWidth="true" hidden="false" outlineLevel="0" max="11" min="11" style="89" width="41"/>
    <col collapsed="false" customWidth="true" hidden="false" outlineLevel="0" max="16" min="12" style="21" width="15.43"/>
    <col collapsed="false" customWidth="true" hidden="true" outlineLevel="0" max="21" min="20" style="1" width="13"/>
  </cols>
  <sheetData>
    <row r="1" customFormat="false" ht="45" hidden="false" customHeight="true" outlineLevel="0" collapsed="false">
      <c r="A1" s="90" t="s">
        <v>43</v>
      </c>
      <c r="B1" s="91" t="s">
        <v>32</v>
      </c>
      <c r="C1" s="90" t="s">
        <v>33</v>
      </c>
      <c r="D1" s="90" t="s">
        <v>34</v>
      </c>
      <c r="E1" s="90" t="s">
        <v>35</v>
      </c>
      <c r="F1" s="92" t="s">
        <v>36</v>
      </c>
      <c r="G1" s="93" t="s">
        <v>2</v>
      </c>
      <c r="H1" s="93" t="s">
        <v>44</v>
      </c>
      <c r="I1" s="93" t="s">
        <v>37</v>
      </c>
      <c r="J1" s="93" t="s">
        <v>38</v>
      </c>
      <c r="K1" s="90" t="s">
        <v>53</v>
      </c>
      <c r="L1" s="90" t="s">
        <v>46</v>
      </c>
      <c r="M1" s="90" t="s">
        <v>49</v>
      </c>
      <c r="N1" s="90" t="s">
        <v>51</v>
      </c>
      <c r="O1" s="90" t="s">
        <v>48</v>
      </c>
      <c r="P1" s="90" t="s">
        <v>50</v>
      </c>
      <c r="Q1" s="90" t="s">
        <v>39</v>
      </c>
      <c r="R1" s="90" t="s">
        <v>40</v>
      </c>
      <c r="T1" s="3" t="s">
        <v>57</v>
      </c>
      <c r="U1" s="3" t="s">
        <v>58</v>
      </c>
    </row>
    <row r="2" customFormat="false" ht="15" hidden="false" customHeight="false" outlineLevel="0" collapsed="false">
      <c r="A2" s="21" t="s">
        <v>59</v>
      </c>
      <c r="B2" s="88" t="n">
        <v>46239</v>
      </c>
      <c r="C2" s="21" t="s">
        <v>60</v>
      </c>
      <c r="D2" s="21" t="s">
        <v>42</v>
      </c>
      <c r="E2" s="21" t="s">
        <v>7</v>
      </c>
      <c r="F2" s="70" t="n">
        <v>0.375</v>
      </c>
      <c r="G2" s="68" t="n">
        <v>965</v>
      </c>
      <c r="H2" s="68" t="n">
        <v>1008</v>
      </c>
      <c r="I2" s="68" t="n">
        <v>977.76</v>
      </c>
      <c r="J2" s="68" t="n">
        <v>1038.24</v>
      </c>
      <c r="L2" s="21" t="s">
        <v>47</v>
      </c>
      <c r="M2" s="21" t="s">
        <v>47</v>
      </c>
      <c r="N2" s="21" t="s">
        <v>47</v>
      </c>
      <c r="O2" s="21" t="s">
        <v>47</v>
      </c>
      <c r="P2" s="21" t="s">
        <v>47</v>
      </c>
      <c r="T2" s="3" t="n">
        <f aca="false">IF($E2="","",COUNTIF($E$2:$E2,$E2))</f>
        <v>1</v>
      </c>
      <c r="U2" s="1" t="str">
        <f aca="false">IF($E2="","",$E2&amp;"|"&amp;T2)</f>
        <v>CLÁSICAS|1</v>
      </c>
    </row>
    <row r="3" customFormat="false" ht="15" hidden="false" customHeight="false" outlineLevel="0" collapsed="false">
      <c r="A3" s="21" t="s">
        <v>61</v>
      </c>
      <c r="B3" s="88" t="n">
        <v>46239</v>
      </c>
      <c r="C3" s="21" t="s">
        <v>60</v>
      </c>
      <c r="D3" s="21" t="s">
        <v>42</v>
      </c>
      <c r="E3" s="21" t="s">
        <v>62</v>
      </c>
      <c r="F3" s="70" t="n">
        <v>0.375</v>
      </c>
      <c r="G3" s="68" t="n">
        <v>935</v>
      </c>
      <c r="H3" s="68" t="n">
        <v>995</v>
      </c>
      <c r="I3" s="68" t="n">
        <v>965.15</v>
      </c>
      <c r="J3" s="68" t="n">
        <v>1024.85</v>
      </c>
      <c r="L3" s="21" t="s">
        <v>47</v>
      </c>
      <c r="M3" s="21" t="s">
        <v>47</v>
      </c>
      <c r="N3" s="21" t="s">
        <v>47</v>
      </c>
      <c r="O3" s="21" t="s">
        <v>47</v>
      </c>
      <c r="P3" s="21" t="s">
        <v>47</v>
      </c>
      <c r="T3" s="3" t="n">
        <f aca="false">IF($E3="","",COUNTIF($E$2:$E3,$E3))</f>
        <v>1</v>
      </c>
      <c r="U3" s="1" t="str">
        <f aca="false">IF($E3="","",$E3&amp;"|"&amp;T3)</f>
        <v>CERVICALES|1</v>
      </c>
    </row>
    <row r="4" customFormat="false" ht="15" hidden="false" customHeight="false" outlineLevel="0" collapsed="false">
      <c r="A4" s="21" t="s">
        <v>63</v>
      </c>
      <c r="B4" s="88" t="n">
        <v>46239</v>
      </c>
      <c r="C4" s="21" t="s">
        <v>60</v>
      </c>
      <c r="D4" s="21" t="s">
        <v>42</v>
      </c>
      <c r="E4" s="21" t="s">
        <v>64</v>
      </c>
      <c r="F4" s="70" t="n">
        <v>0.375</v>
      </c>
      <c r="G4" s="68" t="n">
        <v>965</v>
      </c>
      <c r="H4" s="68" t="n">
        <v>985</v>
      </c>
      <c r="I4" s="68" t="n">
        <v>955.45</v>
      </c>
      <c r="J4" s="68" t="n">
        <v>1014.55</v>
      </c>
      <c r="L4" s="21" t="s">
        <v>47</v>
      </c>
      <c r="M4" s="21" t="s">
        <v>47</v>
      </c>
      <c r="N4" s="21" t="s">
        <v>47</v>
      </c>
      <c r="O4" s="21" t="s">
        <v>47</v>
      </c>
      <c r="P4" s="21" t="s">
        <v>47</v>
      </c>
      <c r="T4" s="3" t="n">
        <f aca="false">IF($E4="","",COUNTIF($E$2:$E4,$E4))</f>
        <v>1</v>
      </c>
      <c r="U4" s="1" t="str">
        <f aca="false">IF($E4="","",$E4&amp;"|"&amp;T4)</f>
        <v>THERMOSENSE|1</v>
      </c>
    </row>
    <row r="5" customFormat="false" ht="15" hidden="false" customHeight="false" outlineLevel="0" collapsed="false">
      <c r="A5" s="21" t="s">
        <v>65</v>
      </c>
      <c r="B5" s="88" t="n">
        <v>46239</v>
      </c>
      <c r="C5" s="21" t="s">
        <v>60</v>
      </c>
      <c r="D5" s="21" t="s">
        <v>42</v>
      </c>
      <c r="E5" s="21" t="s">
        <v>64</v>
      </c>
      <c r="F5" s="70" t="n">
        <v>0.416666666666667</v>
      </c>
      <c r="G5" s="68" t="n">
        <v>965</v>
      </c>
      <c r="H5" s="68" t="n">
        <v>985</v>
      </c>
      <c r="I5" s="68" t="n">
        <v>955.45</v>
      </c>
      <c r="J5" s="68" t="n">
        <v>1014.55</v>
      </c>
      <c r="L5" s="21" t="s">
        <v>47</v>
      </c>
      <c r="M5" s="21" t="s">
        <v>47</v>
      </c>
      <c r="N5" s="21" t="s">
        <v>47</v>
      </c>
      <c r="O5" s="21" t="s">
        <v>47</v>
      </c>
      <c r="P5" s="21" t="s">
        <v>47</v>
      </c>
      <c r="T5" s="3" t="n">
        <f aca="false">IF($E5="","",COUNTIF($E$2:$E5,$E5))</f>
        <v>2</v>
      </c>
      <c r="U5" s="1" t="str">
        <f aca="false">IF($E5="","",$E5&amp;"|"&amp;T5)</f>
        <v>THERMOSENSE|2</v>
      </c>
    </row>
    <row r="6" customFormat="false" ht="15" hidden="false" customHeight="false" outlineLevel="0" collapsed="false">
      <c r="A6" s="21" t="s">
        <v>66</v>
      </c>
      <c r="B6" s="88" t="n">
        <v>46239</v>
      </c>
      <c r="C6" s="21" t="s">
        <v>60</v>
      </c>
      <c r="D6" s="21" t="s">
        <v>42</v>
      </c>
      <c r="E6" s="21" t="s">
        <v>7</v>
      </c>
      <c r="F6" s="70" t="n">
        <v>0.416666666666667</v>
      </c>
      <c r="G6" s="68" t="n">
        <v>965</v>
      </c>
      <c r="H6" s="68" t="n">
        <v>1008</v>
      </c>
      <c r="I6" s="68" t="n">
        <v>977.76</v>
      </c>
      <c r="J6" s="68" t="n">
        <v>1038.24</v>
      </c>
      <c r="L6" s="21" t="s">
        <v>47</v>
      </c>
      <c r="M6" s="21" t="s">
        <v>47</v>
      </c>
      <c r="N6" s="21" t="s">
        <v>47</v>
      </c>
      <c r="O6" s="21" t="s">
        <v>47</v>
      </c>
      <c r="P6" s="21" t="s">
        <v>47</v>
      </c>
      <c r="T6" s="3" t="n">
        <f aca="false">IF($E6="","",COUNTIF($E$2:$E6,$E6))</f>
        <v>2</v>
      </c>
      <c r="U6" s="1" t="str">
        <f aca="false">IF($E6="","",$E6&amp;"|"&amp;T6)</f>
        <v>CLÁSICAS|2</v>
      </c>
    </row>
    <row r="7" customFormat="false" ht="15" hidden="false" customHeight="false" outlineLevel="0" collapsed="false">
      <c r="A7" s="21" t="s">
        <v>67</v>
      </c>
      <c r="B7" s="88" t="n">
        <v>46239</v>
      </c>
      <c r="C7" s="21" t="s">
        <v>60</v>
      </c>
      <c r="D7" s="21" t="s">
        <v>42</v>
      </c>
      <c r="E7" s="21" t="s">
        <v>62</v>
      </c>
      <c r="F7" s="70" t="n">
        <v>0.416666666666667</v>
      </c>
      <c r="G7" s="68" t="n">
        <v>935</v>
      </c>
      <c r="H7" s="68" t="n">
        <v>995</v>
      </c>
      <c r="I7" s="68" t="n">
        <v>965.15</v>
      </c>
      <c r="J7" s="68" t="n">
        <v>1024.85</v>
      </c>
      <c r="L7" s="21" t="s">
        <v>47</v>
      </c>
      <c r="M7" s="21" t="s">
        <v>47</v>
      </c>
      <c r="N7" s="21" t="s">
        <v>47</v>
      </c>
      <c r="O7" s="21" t="s">
        <v>47</v>
      </c>
      <c r="P7" s="21" t="s">
        <v>47</v>
      </c>
      <c r="T7" s="3" t="n">
        <f aca="false">IF($E7="","",COUNTIF($E$2:$E7,$E7))</f>
        <v>2</v>
      </c>
      <c r="U7" s="1" t="str">
        <f aca="false">IF($E7="","",$E7&amp;"|"&amp;T7)</f>
        <v>CERVICALES|2</v>
      </c>
    </row>
    <row r="8" customFormat="false" ht="15" hidden="false" customHeight="false" outlineLevel="0" collapsed="false">
      <c r="A8" s="21" t="s">
        <v>68</v>
      </c>
      <c r="B8" s="88" t="n">
        <v>46239</v>
      </c>
      <c r="C8" s="21" t="s">
        <v>60</v>
      </c>
      <c r="D8" s="21" t="s">
        <v>42</v>
      </c>
      <c r="E8" s="21" t="s">
        <v>62</v>
      </c>
      <c r="F8" s="70" t="n">
        <v>0.458333333333333</v>
      </c>
      <c r="G8" s="68" t="n">
        <v>935</v>
      </c>
      <c r="H8" s="68" t="n">
        <v>995</v>
      </c>
      <c r="I8" s="68" t="n">
        <v>965.15</v>
      </c>
      <c r="J8" s="68" t="n">
        <v>1024.85</v>
      </c>
      <c r="L8" s="21" t="s">
        <v>47</v>
      </c>
      <c r="M8" s="21" t="s">
        <v>47</v>
      </c>
      <c r="N8" s="21" t="s">
        <v>47</v>
      </c>
      <c r="O8" s="21" t="s">
        <v>47</v>
      </c>
      <c r="P8" s="21" t="s">
        <v>47</v>
      </c>
      <c r="T8" s="3" t="n">
        <f aca="false">IF($E8="","",COUNTIF($E$2:$E8,$E8))</f>
        <v>3</v>
      </c>
      <c r="U8" s="1" t="str">
        <f aca="false">IF($E8="","",$E8&amp;"|"&amp;T8)</f>
        <v>CERVICALES|3</v>
      </c>
    </row>
    <row r="9" customFormat="false" ht="15" hidden="false" customHeight="false" outlineLevel="0" collapsed="false">
      <c r="A9" s="21" t="s">
        <v>69</v>
      </c>
      <c r="B9" s="88" t="n">
        <v>46239</v>
      </c>
      <c r="C9" s="21" t="s">
        <v>60</v>
      </c>
      <c r="D9" s="21" t="s">
        <v>42</v>
      </c>
      <c r="E9" s="21" t="s">
        <v>7</v>
      </c>
      <c r="F9" s="70" t="n">
        <v>0.458333333333333</v>
      </c>
      <c r="G9" s="68" t="n">
        <v>965</v>
      </c>
      <c r="H9" s="68" t="n">
        <v>1008</v>
      </c>
      <c r="I9" s="68" t="n">
        <v>977.76</v>
      </c>
      <c r="J9" s="68" t="n">
        <v>1038.24</v>
      </c>
      <c r="L9" s="21" t="s">
        <v>47</v>
      </c>
      <c r="M9" s="21" t="s">
        <v>47</v>
      </c>
      <c r="N9" s="21" t="s">
        <v>47</v>
      </c>
      <c r="O9" s="21" t="s">
        <v>47</v>
      </c>
      <c r="P9" s="21" t="s">
        <v>47</v>
      </c>
      <c r="T9" s="3" t="n">
        <f aca="false">IF($E9="","",COUNTIF($E$2:$E9,$E9))</f>
        <v>3</v>
      </c>
      <c r="U9" s="1" t="str">
        <f aca="false">IF($E9="","",$E9&amp;"|"&amp;T9)</f>
        <v>CLÁSICAS|3</v>
      </c>
    </row>
    <row r="10" customFormat="false" ht="15" hidden="false" customHeight="false" outlineLevel="0" collapsed="false">
      <c r="A10" s="21" t="s">
        <v>70</v>
      </c>
      <c r="B10" s="88" t="n">
        <v>46239</v>
      </c>
      <c r="C10" s="21" t="s">
        <v>60</v>
      </c>
      <c r="D10" s="21" t="s">
        <v>42</v>
      </c>
      <c r="E10" s="21" t="s">
        <v>64</v>
      </c>
      <c r="F10" s="70" t="n">
        <v>0.458333333333333</v>
      </c>
      <c r="G10" s="68" t="n">
        <v>965</v>
      </c>
      <c r="H10" s="68" t="n">
        <v>985</v>
      </c>
      <c r="I10" s="68" t="n">
        <v>955.45</v>
      </c>
      <c r="J10" s="68" t="n">
        <v>1014.55</v>
      </c>
      <c r="L10" s="21" t="s">
        <v>47</v>
      </c>
      <c r="M10" s="21" t="s">
        <v>47</v>
      </c>
      <c r="N10" s="21" t="s">
        <v>47</v>
      </c>
      <c r="O10" s="21" t="s">
        <v>47</v>
      </c>
      <c r="P10" s="21" t="s">
        <v>47</v>
      </c>
      <c r="T10" s="3" t="n">
        <f aca="false">IF($E10="","",COUNTIF($E$2:$E10,$E10))</f>
        <v>3</v>
      </c>
      <c r="U10" s="1" t="str">
        <f aca="false">IF($E10="","",$E10&amp;"|"&amp;T10)</f>
        <v>THERMOSENSE|3</v>
      </c>
    </row>
    <row r="11" customFormat="false" ht="15" hidden="false" customHeight="false" outlineLevel="0" collapsed="false">
      <c r="A11" s="21" t="s">
        <v>71</v>
      </c>
      <c r="B11" s="88" t="n">
        <v>46239</v>
      </c>
      <c r="C11" s="21" t="s">
        <v>60</v>
      </c>
      <c r="D11" s="21" t="s">
        <v>42</v>
      </c>
      <c r="E11" s="21" t="s">
        <v>64</v>
      </c>
      <c r="F11" s="70" t="n">
        <v>0.5</v>
      </c>
      <c r="G11" s="68" t="n">
        <v>965</v>
      </c>
      <c r="H11" s="68" t="n">
        <v>985</v>
      </c>
      <c r="I11" s="68" t="n">
        <v>955.45</v>
      </c>
      <c r="J11" s="68" t="n">
        <v>1014.55</v>
      </c>
      <c r="L11" s="21" t="s">
        <v>47</v>
      </c>
      <c r="M11" s="21" t="s">
        <v>47</v>
      </c>
      <c r="N11" s="21" t="s">
        <v>47</v>
      </c>
      <c r="O11" s="21" t="s">
        <v>47</v>
      </c>
      <c r="P11" s="21" t="s">
        <v>47</v>
      </c>
      <c r="T11" s="3" t="n">
        <f aca="false">IF($E11="","",COUNTIF($E$2:$E11,$E11))</f>
        <v>4</v>
      </c>
      <c r="U11" s="1" t="str">
        <f aca="false">IF($E11="","",$E11&amp;"|"&amp;T11)</f>
        <v>THERMOSENSE|4</v>
      </c>
    </row>
    <row r="12" customFormat="false" ht="15" hidden="false" customHeight="false" outlineLevel="0" collapsed="false">
      <c r="A12" s="21" t="s">
        <v>72</v>
      </c>
      <c r="B12" s="88" t="n">
        <v>46239</v>
      </c>
      <c r="C12" s="21" t="s">
        <v>60</v>
      </c>
      <c r="D12" s="21" t="s">
        <v>42</v>
      </c>
      <c r="E12" s="21" t="s">
        <v>7</v>
      </c>
      <c r="F12" s="70" t="n">
        <v>0.5</v>
      </c>
      <c r="G12" s="68" t="n">
        <v>965</v>
      </c>
      <c r="H12" s="68" t="n">
        <v>1008</v>
      </c>
      <c r="I12" s="68" t="n">
        <v>977.76</v>
      </c>
      <c r="J12" s="68" t="n">
        <v>1038.24</v>
      </c>
      <c r="L12" s="21" t="s">
        <v>47</v>
      </c>
      <c r="M12" s="21" t="s">
        <v>47</v>
      </c>
      <c r="N12" s="21" t="s">
        <v>47</v>
      </c>
      <c r="O12" s="21" t="s">
        <v>47</v>
      </c>
      <c r="P12" s="21" t="s">
        <v>47</v>
      </c>
      <c r="T12" s="3" t="n">
        <f aca="false">IF($E12="","",COUNTIF($E$2:$E12,$E12))</f>
        <v>4</v>
      </c>
      <c r="U12" s="1" t="str">
        <f aca="false">IF($E12="","",$E12&amp;"|"&amp;T12)</f>
        <v>CLÁSICAS|4</v>
      </c>
    </row>
    <row r="13" customFormat="false" ht="15" hidden="false" customHeight="false" outlineLevel="0" collapsed="false">
      <c r="A13" s="21" t="s">
        <v>73</v>
      </c>
      <c r="B13" s="88" t="n">
        <v>46239</v>
      </c>
      <c r="C13" s="21" t="s">
        <v>60</v>
      </c>
      <c r="D13" s="21" t="s">
        <v>42</v>
      </c>
      <c r="E13" s="21" t="s">
        <v>62</v>
      </c>
      <c r="F13" s="70" t="n">
        <v>0.5</v>
      </c>
      <c r="G13" s="68" t="n">
        <v>935</v>
      </c>
      <c r="H13" s="68" t="n">
        <v>995</v>
      </c>
      <c r="I13" s="68" t="n">
        <v>965.15</v>
      </c>
      <c r="J13" s="68" t="n">
        <v>1024.85</v>
      </c>
      <c r="L13" s="21" t="s">
        <v>47</v>
      </c>
      <c r="M13" s="21" t="s">
        <v>47</v>
      </c>
      <c r="N13" s="21" t="s">
        <v>47</v>
      </c>
      <c r="O13" s="21" t="s">
        <v>47</v>
      </c>
      <c r="P13" s="21" t="s">
        <v>47</v>
      </c>
      <c r="T13" s="3" t="n">
        <f aca="false">IF($E13="","",COUNTIF($E$2:$E13,$E13))</f>
        <v>4</v>
      </c>
      <c r="U13" s="1" t="str">
        <f aca="false">IF($E13="","",$E13&amp;"|"&amp;T13)</f>
        <v>CERVICALES|4</v>
      </c>
    </row>
    <row r="14" customFormat="false" ht="15" hidden="false" customHeight="false" outlineLevel="0" collapsed="false">
      <c r="A14" s="21" t="s">
        <v>74</v>
      </c>
      <c r="B14" s="88" t="n">
        <v>46240</v>
      </c>
      <c r="C14" s="21" t="s">
        <v>60</v>
      </c>
      <c r="D14" s="21" t="s">
        <v>42</v>
      </c>
      <c r="E14" s="21" t="s">
        <v>62</v>
      </c>
      <c r="F14" s="70" t="n">
        <v>0.333333333333333</v>
      </c>
      <c r="G14" s="68" t="n">
        <v>935</v>
      </c>
      <c r="H14" s="68" t="n">
        <v>995</v>
      </c>
      <c r="I14" s="68" t="n">
        <v>965.15</v>
      </c>
      <c r="J14" s="68" t="n">
        <v>1024.85</v>
      </c>
      <c r="L14" s="21" t="s">
        <v>47</v>
      </c>
      <c r="M14" s="21" t="s">
        <v>47</v>
      </c>
      <c r="N14" s="21" t="s">
        <v>47</v>
      </c>
      <c r="O14" s="21" t="s">
        <v>47</v>
      </c>
      <c r="P14" s="21" t="s">
        <v>47</v>
      </c>
      <c r="T14" s="3" t="n">
        <f aca="false">IF($E14="","",COUNTIF($E$2:$E14,$E14))</f>
        <v>5</v>
      </c>
      <c r="U14" s="1" t="str">
        <f aca="false">IF($E14="","",$E14&amp;"|"&amp;T14)</f>
        <v>CERVICALES|5</v>
      </c>
    </row>
    <row r="15" customFormat="false" ht="15" hidden="false" customHeight="false" outlineLevel="0" collapsed="false">
      <c r="A15" s="21" t="s">
        <v>75</v>
      </c>
      <c r="B15" s="88" t="n">
        <v>46240</v>
      </c>
      <c r="C15" s="21" t="s">
        <v>60</v>
      </c>
      <c r="D15" s="21" t="s">
        <v>42</v>
      </c>
      <c r="E15" s="21" t="s">
        <v>7</v>
      </c>
      <c r="F15" s="70" t="n">
        <v>0.333333333333333</v>
      </c>
      <c r="G15" s="68" t="n">
        <v>965</v>
      </c>
      <c r="H15" s="68" t="n">
        <v>1008</v>
      </c>
      <c r="I15" s="68" t="n">
        <v>977.76</v>
      </c>
      <c r="J15" s="68" t="n">
        <v>1038.24</v>
      </c>
      <c r="L15" s="21" t="s">
        <v>47</v>
      </c>
      <c r="M15" s="21" t="s">
        <v>47</v>
      </c>
      <c r="N15" s="21" t="s">
        <v>47</v>
      </c>
      <c r="O15" s="21" t="s">
        <v>47</v>
      </c>
      <c r="P15" s="21" t="s">
        <v>47</v>
      </c>
      <c r="T15" s="3" t="n">
        <f aca="false">IF($E15="","",COUNTIF($E$2:$E15,$E15))</f>
        <v>5</v>
      </c>
      <c r="U15" s="1" t="str">
        <f aca="false">IF($E15="","",$E15&amp;"|"&amp;T15)</f>
        <v>CLÁSICAS|5</v>
      </c>
    </row>
    <row r="16" customFormat="false" ht="15" hidden="false" customHeight="false" outlineLevel="0" collapsed="false">
      <c r="A16" s="21" t="s">
        <v>76</v>
      </c>
      <c r="B16" s="88" t="n">
        <v>46240</v>
      </c>
      <c r="C16" s="21" t="s">
        <v>60</v>
      </c>
      <c r="D16" s="21" t="s">
        <v>42</v>
      </c>
      <c r="E16" s="21" t="s">
        <v>64</v>
      </c>
      <c r="F16" s="70" t="n">
        <v>0.333333333333333</v>
      </c>
      <c r="G16" s="68" t="n">
        <v>965</v>
      </c>
      <c r="H16" s="68" t="n">
        <v>985</v>
      </c>
      <c r="I16" s="68" t="n">
        <v>955.45</v>
      </c>
      <c r="J16" s="68" t="n">
        <v>1014.55</v>
      </c>
      <c r="L16" s="21" t="s">
        <v>47</v>
      </c>
      <c r="M16" s="21" t="s">
        <v>47</v>
      </c>
      <c r="N16" s="21" t="s">
        <v>47</v>
      </c>
      <c r="O16" s="21" t="s">
        <v>47</v>
      </c>
      <c r="P16" s="21" t="s">
        <v>47</v>
      </c>
      <c r="T16" s="3" t="n">
        <f aca="false">IF($E16="","",COUNTIF($E$2:$E16,$E16))</f>
        <v>5</v>
      </c>
      <c r="U16" s="1" t="str">
        <f aca="false">IF($E16="","",$E16&amp;"|"&amp;T16)</f>
        <v>THERMOSENSE|5</v>
      </c>
    </row>
    <row r="17" customFormat="false" ht="15" hidden="false" customHeight="false" outlineLevel="0" collapsed="false">
      <c r="A17" s="21" t="s">
        <v>77</v>
      </c>
      <c r="B17" s="88" t="n">
        <v>46240</v>
      </c>
      <c r="C17" s="21" t="s">
        <v>60</v>
      </c>
      <c r="D17" s="21" t="s">
        <v>42</v>
      </c>
      <c r="E17" s="21" t="s">
        <v>64</v>
      </c>
      <c r="F17" s="70" t="n">
        <v>0.375</v>
      </c>
      <c r="G17" s="68" t="n">
        <v>965</v>
      </c>
      <c r="H17" s="68" t="n">
        <v>985</v>
      </c>
      <c r="I17" s="68" t="n">
        <v>955.45</v>
      </c>
      <c r="J17" s="68" t="n">
        <v>1014.55</v>
      </c>
      <c r="L17" s="21" t="s">
        <v>47</v>
      </c>
      <c r="M17" s="21" t="s">
        <v>47</v>
      </c>
      <c r="N17" s="21" t="s">
        <v>47</v>
      </c>
      <c r="O17" s="21" t="s">
        <v>47</v>
      </c>
      <c r="P17" s="21" t="s">
        <v>47</v>
      </c>
      <c r="T17" s="3" t="n">
        <f aca="false">IF($E17="","",COUNTIF($E$2:$E17,$E17))</f>
        <v>6</v>
      </c>
      <c r="U17" s="1" t="str">
        <f aca="false">IF($E17="","",$E17&amp;"|"&amp;T17)</f>
        <v>THERMOSENSE|6</v>
      </c>
    </row>
    <row r="18" customFormat="false" ht="15" hidden="false" customHeight="false" outlineLevel="0" collapsed="false">
      <c r="A18" s="21" t="s">
        <v>78</v>
      </c>
      <c r="B18" s="88" t="n">
        <v>46240</v>
      </c>
      <c r="C18" s="21" t="s">
        <v>60</v>
      </c>
      <c r="D18" s="21" t="s">
        <v>42</v>
      </c>
      <c r="E18" s="21" t="s">
        <v>7</v>
      </c>
      <c r="F18" s="70" t="n">
        <v>0.375</v>
      </c>
      <c r="G18" s="68" t="n">
        <v>965</v>
      </c>
      <c r="H18" s="68" t="n">
        <v>1008</v>
      </c>
      <c r="I18" s="68" t="n">
        <v>977.76</v>
      </c>
      <c r="J18" s="68" t="n">
        <v>1038.24</v>
      </c>
      <c r="L18" s="21" t="s">
        <v>47</v>
      </c>
      <c r="M18" s="21" t="s">
        <v>47</v>
      </c>
      <c r="N18" s="21" t="s">
        <v>47</v>
      </c>
      <c r="O18" s="21" t="s">
        <v>47</v>
      </c>
      <c r="P18" s="21" t="s">
        <v>47</v>
      </c>
      <c r="T18" s="3" t="n">
        <f aca="false">IF($E18="","",COUNTIF($E$2:$E18,$E18))</f>
        <v>6</v>
      </c>
      <c r="U18" s="1" t="str">
        <f aca="false">IF($E18="","",$E18&amp;"|"&amp;T18)</f>
        <v>CLÁSICAS|6</v>
      </c>
    </row>
    <row r="19" customFormat="false" ht="15" hidden="false" customHeight="false" outlineLevel="0" collapsed="false">
      <c r="A19" s="21" t="s">
        <v>79</v>
      </c>
      <c r="B19" s="88" t="n">
        <v>46240</v>
      </c>
      <c r="C19" s="21" t="s">
        <v>60</v>
      </c>
      <c r="D19" s="21" t="s">
        <v>42</v>
      </c>
      <c r="E19" s="21" t="s">
        <v>62</v>
      </c>
      <c r="F19" s="70" t="n">
        <v>0.375</v>
      </c>
      <c r="G19" s="68" t="n">
        <v>935</v>
      </c>
      <c r="H19" s="68" t="n">
        <v>995</v>
      </c>
      <c r="I19" s="68" t="n">
        <v>965.15</v>
      </c>
      <c r="J19" s="68" t="n">
        <v>1024.85</v>
      </c>
      <c r="L19" s="21" t="s">
        <v>47</v>
      </c>
      <c r="M19" s="21" t="s">
        <v>47</v>
      </c>
      <c r="N19" s="21" t="s">
        <v>47</v>
      </c>
      <c r="O19" s="21" t="s">
        <v>47</v>
      </c>
      <c r="P19" s="21" t="s">
        <v>47</v>
      </c>
      <c r="T19" s="3" t="n">
        <f aca="false">IF($E19="","",COUNTIF($E$2:$E19,$E19))</f>
        <v>6</v>
      </c>
      <c r="U19" s="1" t="str">
        <f aca="false">IF($E19="","",$E19&amp;"|"&amp;T19)</f>
        <v>CERVICALES|6</v>
      </c>
    </row>
    <row r="20" customFormat="false" ht="15" hidden="false" customHeight="false" outlineLevel="0" collapsed="false">
      <c r="A20" s="21" t="s">
        <v>80</v>
      </c>
      <c r="B20" s="88" t="n">
        <v>46240</v>
      </c>
      <c r="C20" s="21" t="s">
        <v>60</v>
      </c>
      <c r="D20" s="21" t="s">
        <v>42</v>
      </c>
      <c r="E20" s="21" t="s">
        <v>62</v>
      </c>
      <c r="F20" s="70" t="n">
        <v>0.416666666666667</v>
      </c>
      <c r="G20" s="68" t="n">
        <v>935</v>
      </c>
      <c r="H20" s="68" t="n">
        <v>995</v>
      </c>
      <c r="I20" s="68" t="n">
        <v>965.15</v>
      </c>
      <c r="J20" s="68" t="n">
        <v>1024.85</v>
      </c>
      <c r="L20" s="21" t="s">
        <v>47</v>
      </c>
      <c r="M20" s="21" t="s">
        <v>47</v>
      </c>
      <c r="N20" s="21" t="s">
        <v>47</v>
      </c>
      <c r="O20" s="21" t="s">
        <v>47</v>
      </c>
      <c r="P20" s="21" t="s">
        <v>47</v>
      </c>
      <c r="T20" s="3" t="n">
        <f aca="false">IF($E20="","",COUNTIF($E$2:$E20,$E20))</f>
        <v>7</v>
      </c>
      <c r="U20" s="1" t="str">
        <f aca="false">IF($E20="","",$E20&amp;"|"&amp;T20)</f>
        <v>CERVICALES|7</v>
      </c>
    </row>
    <row r="21" customFormat="false" ht="15" hidden="false" customHeight="false" outlineLevel="0" collapsed="false">
      <c r="A21" s="21" t="s">
        <v>81</v>
      </c>
      <c r="B21" s="88" t="n">
        <v>46240</v>
      </c>
      <c r="C21" s="21" t="s">
        <v>60</v>
      </c>
      <c r="D21" s="21" t="s">
        <v>42</v>
      </c>
      <c r="E21" s="21" t="s">
        <v>7</v>
      </c>
      <c r="F21" s="70" t="n">
        <v>0.416666666666667</v>
      </c>
      <c r="G21" s="68" t="n">
        <v>965</v>
      </c>
      <c r="H21" s="68" t="n">
        <v>1008</v>
      </c>
      <c r="I21" s="68" t="n">
        <v>977.76</v>
      </c>
      <c r="J21" s="68" t="n">
        <v>1038.24</v>
      </c>
      <c r="L21" s="21" t="s">
        <v>47</v>
      </c>
      <c r="M21" s="21" t="s">
        <v>47</v>
      </c>
      <c r="N21" s="21" t="s">
        <v>47</v>
      </c>
      <c r="O21" s="21" t="s">
        <v>47</v>
      </c>
      <c r="P21" s="21" t="s">
        <v>47</v>
      </c>
      <c r="T21" s="3" t="n">
        <f aca="false">IF($E21="","",COUNTIF($E$2:$E21,$E21))</f>
        <v>7</v>
      </c>
      <c r="U21" s="1" t="str">
        <f aca="false">IF($E21="","",$E21&amp;"|"&amp;T21)</f>
        <v>CLÁSICAS|7</v>
      </c>
    </row>
    <row r="22" customFormat="false" ht="15" hidden="false" customHeight="false" outlineLevel="0" collapsed="false">
      <c r="A22" s="21" t="s">
        <v>82</v>
      </c>
      <c r="B22" s="88" t="n">
        <v>46240</v>
      </c>
      <c r="C22" s="21" t="s">
        <v>60</v>
      </c>
      <c r="D22" s="21" t="s">
        <v>42</v>
      </c>
      <c r="E22" s="21" t="s">
        <v>64</v>
      </c>
      <c r="F22" s="70" t="n">
        <v>0.416666666666667</v>
      </c>
      <c r="G22" s="68" t="n">
        <v>965</v>
      </c>
      <c r="H22" s="68" t="n">
        <v>985</v>
      </c>
      <c r="I22" s="68" t="n">
        <v>955.45</v>
      </c>
      <c r="J22" s="68" t="n">
        <v>1014.55</v>
      </c>
      <c r="L22" s="21" t="s">
        <v>47</v>
      </c>
      <c r="M22" s="21" t="s">
        <v>47</v>
      </c>
      <c r="N22" s="21" t="s">
        <v>47</v>
      </c>
      <c r="O22" s="21" t="s">
        <v>47</v>
      </c>
      <c r="P22" s="21" t="s">
        <v>47</v>
      </c>
      <c r="T22" s="3" t="n">
        <f aca="false">IF($E22="","",COUNTIF($E$2:$E22,$E22))</f>
        <v>7</v>
      </c>
      <c r="U22" s="1" t="str">
        <f aca="false">IF($E22="","",$E22&amp;"|"&amp;T22)</f>
        <v>THERMOSENSE|7</v>
      </c>
    </row>
    <row r="23" customFormat="false" ht="15" hidden="false" customHeight="false" outlineLevel="0" collapsed="false">
      <c r="A23" s="21" t="s">
        <v>83</v>
      </c>
      <c r="B23" s="88" t="n">
        <v>46240</v>
      </c>
      <c r="C23" s="21" t="s">
        <v>60</v>
      </c>
      <c r="D23" s="21" t="s">
        <v>42</v>
      </c>
      <c r="E23" s="21" t="s">
        <v>64</v>
      </c>
      <c r="F23" s="70" t="n">
        <v>0.458333333333333</v>
      </c>
      <c r="G23" s="68" t="n">
        <v>965</v>
      </c>
      <c r="H23" s="68" t="n">
        <v>985</v>
      </c>
      <c r="I23" s="68" t="n">
        <v>955.45</v>
      </c>
      <c r="J23" s="68" t="n">
        <v>1014.55</v>
      </c>
      <c r="L23" s="21" t="s">
        <v>47</v>
      </c>
      <c r="M23" s="21" t="s">
        <v>47</v>
      </c>
      <c r="N23" s="21" t="s">
        <v>47</v>
      </c>
      <c r="O23" s="21" t="s">
        <v>47</v>
      </c>
      <c r="P23" s="21" t="s">
        <v>47</v>
      </c>
      <c r="T23" s="3" t="n">
        <f aca="false">IF($E23="","",COUNTIF($E$2:$E23,$E23))</f>
        <v>8</v>
      </c>
      <c r="U23" s="1" t="str">
        <f aca="false">IF($E23="","",$E23&amp;"|"&amp;T23)</f>
        <v>THERMOSENSE|8</v>
      </c>
    </row>
    <row r="24" customFormat="false" ht="15" hidden="false" customHeight="false" outlineLevel="0" collapsed="false">
      <c r="A24" s="21" t="s">
        <v>84</v>
      </c>
      <c r="B24" s="88" t="n">
        <v>46240</v>
      </c>
      <c r="C24" s="21" t="s">
        <v>60</v>
      </c>
      <c r="D24" s="21" t="s">
        <v>42</v>
      </c>
      <c r="E24" s="21" t="s">
        <v>7</v>
      </c>
      <c r="F24" s="70" t="n">
        <v>0.458333333333333</v>
      </c>
      <c r="G24" s="68" t="n">
        <v>965</v>
      </c>
      <c r="H24" s="68" t="n">
        <v>1008</v>
      </c>
      <c r="I24" s="68" t="n">
        <v>977.76</v>
      </c>
      <c r="J24" s="68" t="n">
        <v>1038.24</v>
      </c>
      <c r="L24" s="21" t="s">
        <v>47</v>
      </c>
      <c r="M24" s="21" t="s">
        <v>47</v>
      </c>
      <c r="N24" s="21" t="s">
        <v>47</v>
      </c>
      <c r="O24" s="21" t="s">
        <v>47</v>
      </c>
      <c r="P24" s="21" t="s">
        <v>47</v>
      </c>
      <c r="T24" s="3" t="n">
        <f aca="false">IF($E24="","",COUNTIF($E$2:$E24,$E24))</f>
        <v>8</v>
      </c>
      <c r="U24" s="1" t="str">
        <f aca="false">IF($E24="","",$E24&amp;"|"&amp;T24)</f>
        <v>CLÁSICAS|8</v>
      </c>
    </row>
    <row r="25" customFormat="false" ht="15" hidden="false" customHeight="false" outlineLevel="0" collapsed="false">
      <c r="A25" s="21" t="s">
        <v>85</v>
      </c>
      <c r="B25" s="88" t="n">
        <v>46240</v>
      </c>
      <c r="C25" s="21" t="s">
        <v>60</v>
      </c>
      <c r="D25" s="21" t="s">
        <v>42</v>
      </c>
      <c r="E25" s="21" t="s">
        <v>62</v>
      </c>
      <c r="F25" s="70" t="n">
        <v>0.458333333333333</v>
      </c>
      <c r="G25" s="68" t="n">
        <v>935</v>
      </c>
      <c r="H25" s="68" t="n">
        <v>995</v>
      </c>
      <c r="I25" s="68" t="n">
        <v>965.15</v>
      </c>
      <c r="J25" s="68" t="n">
        <v>1024.85</v>
      </c>
      <c r="L25" s="21" t="s">
        <v>47</v>
      </c>
      <c r="M25" s="21" t="s">
        <v>47</v>
      </c>
      <c r="N25" s="21" t="s">
        <v>47</v>
      </c>
      <c r="O25" s="21" t="s">
        <v>47</v>
      </c>
      <c r="P25" s="21" t="s">
        <v>47</v>
      </c>
      <c r="T25" s="3" t="n">
        <f aca="false">IF($E25="","",COUNTIF($E$2:$E25,$E25))</f>
        <v>8</v>
      </c>
      <c r="U25" s="1" t="str">
        <f aca="false">IF($E25="","",$E25&amp;"|"&amp;T25)</f>
        <v>CERVICALES|8</v>
      </c>
    </row>
    <row r="26" customFormat="false" ht="15" hidden="false" customHeight="false" outlineLevel="0" collapsed="false">
      <c r="A26" s="21" t="s">
        <v>86</v>
      </c>
      <c r="B26" s="88" t="n">
        <v>46240</v>
      </c>
      <c r="C26" s="21" t="s">
        <v>60</v>
      </c>
      <c r="D26" s="21" t="s">
        <v>42</v>
      </c>
      <c r="E26" s="21" t="s">
        <v>62</v>
      </c>
      <c r="F26" s="70" t="n">
        <v>0.5</v>
      </c>
      <c r="G26" s="68" t="n">
        <v>935</v>
      </c>
      <c r="H26" s="68" t="n">
        <v>995</v>
      </c>
      <c r="I26" s="68" t="n">
        <v>965.15</v>
      </c>
      <c r="J26" s="68" t="n">
        <v>1024.85</v>
      </c>
      <c r="L26" s="21" t="s">
        <v>47</v>
      </c>
      <c r="M26" s="21" t="s">
        <v>47</v>
      </c>
      <c r="N26" s="21" t="s">
        <v>47</v>
      </c>
      <c r="O26" s="21" t="s">
        <v>47</v>
      </c>
      <c r="P26" s="21" t="s">
        <v>47</v>
      </c>
      <c r="T26" s="3" t="n">
        <f aca="false">IF($E26="","",COUNTIF($E$2:$E26,$E26))</f>
        <v>9</v>
      </c>
      <c r="U26" s="1" t="str">
        <f aca="false">IF($E26="","",$E26&amp;"|"&amp;T26)</f>
        <v>CERVICALES|9</v>
      </c>
    </row>
    <row r="27" customFormat="false" ht="15" hidden="false" customHeight="false" outlineLevel="0" collapsed="false">
      <c r="A27" s="21" t="s">
        <v>87</v>
      </c>
      <c r="B27" s="88" t="n">
        <v>46240</v>
      </c>
      <c r="C27" s="21" t="s">
        <v>60</v>
      </c>
      <c r="D27" s="21" t="s">
        <v>42</v>
      </c>
      <c r="E27" s="21" t="s">
        <v>7</v>
      </c>
      <c r="F27" s="70" t="n">
        <v>0.5</v>
      </c>
      <c r="G27" s="68" t="n">
        <v>965</v>
      </c>
      <c r="H27" s="68" t="n">
        <v>1008</v>
      </c>
      <c r="I27" s="68" t="n">
        <v>977.76</v>
      </c>
      <c r="J27" s="68" t="n">
        <v>1038.24</v>
      </c>
      <c r="L27" s="21" t="s">
        <v>47</v>
      </c>
      <c r="M27" s="21" t="s">
        <v>47</v>
      </c>
      <c r="N27" s="21" t="s">
        <v>47</v>
      </c>
      <c r="O27" s="21" t="s">
        <v>47</v>
      </c>
      <c r="P27" s="21" t="s">
        <v>47</v>
      </c>
      <c r="T27" s="3" t="n">
        <f aca="false">IF($E27="","",COUNTIF($E$2:$E27,$E27))</f>
        <v>9</v>
      </c>
      <c r="U27" s="1" t="str">
        <f aca="false">IF($E27="","",$E27&amp;"|"&amp;T27)</f>
        <v>CLÁSICAS|9</v>
      </c>
    </row>
    <row r="28" customFormat="false" ht="15" hidden="false" customHeight="false" outlineLevel="0" collapsed="false">
      <c r="A28" s="21" t="s">
        <v>88</v>
      </c>
      <c r="B28" s="88" t="n">
        <v>46240</v>
      </c>
      <c r="C28" s="21" t="s">
        <v>60</v>
      </c>
      <c r="D28" s="21" t="s">
        <v>42</v>
      </c>
      <c r="E28" s="21" t="s">
        <v>64</v>
      </c>
      <c r="F28" s="70" t="n">
        <v>0.5</v>
      </c>
      <c r="G28" s="68" t="n">
        <v>965</v>
      </c>
      <c r="H28" s="68" t="n">
        <v>985</v>
      </c>
      <c r="I28" s="68" t="n">
        <v>955.45</v>
      </c>
      <c r="J28" s="68" t="n">
        <v>1014.55</v>
      </c>
      <c r="L28" s="21" t="s">
        <v>47</v>
      </c>
      <c r="M28" s="21" t="s">
        <v>47</v>
      </c>
      <c r="N28" s="21" t="s">
        <v>47</v>
      </c>
      <c r="O28" s="21" t="s">
        <v>47</v>
      </c>
      <c r="P28" s="21" t="s">
        <v>47</v>
      </c>
      <c r="T28" s="3" t="n">
        <f aca="false">IF($E28="","",COUNTIF($E$2:$E28,$E28))</f>
        <v>9</v>
      </c>
      <c r="U28" s="1" t="str">
        <f aca="false">IF($E28="","",$E28&amp;"|"&amp;T28)</f>
        <v>THERMOSENSE|9</v>
      </c>
    </row>
    <row r="29" customFormat="false" ht="15" hidden="false" customHeight="false" outlineLevel="0" collapsed="false">
      <c r="A29" s="21" t="s">
        <v>89</v>
      </c>
      <c r="B29" s="88" t="n">
        <v>46241</v>
      </c>
      <c r="C29" s="21" t="s">
        <v>60</v>
      </c>
      <c r="D29" s="21" t="s">
        <v>42</v>
      </c>
      <c r="E29" s="21" t="s">
        <v>7</v>
      </c>
      <c r="F29" s="70" t="n">
        <v>0.333333333333333</v>
      </c>
      <c r="G29" s="68" t="n">
        <v>965</v>
      </c>
      <c r="H29" s="68" t="n">
        <v>1008</v>
      </c>
      <c r="I29" s="68" t="n">
        <v>977.76</v>
      </c>
      <c r="J29" s="68" t="n">
        <v>1038.24</v>
      </c>
      <c r="L29" s="21" t="s">
        <v>47</v>
      </c>
      <c r="M29" s="21" t="s">
        <v>47</v>
      </c>
      <c r="N29" s="21" t="s">
        <v>47</v>
      </c>
      <c r="O29" s="21" t="s">
        <v>47</v>
      </c>
      <c r="P29" s="21" t="s">
        <v>47</v>
      </c>
      <c r="T29" s="3" t="n">
        <f aca="false">IF($E29="","",COUNTIF($E$2:$E29,$E29))</f>
        <v>10</v>
      </c>
      <c r="U29" s="1" t="str">
        <f aca="false">IF($E29="","",$E29&amp;"|"&amp;T29)</f>
        <v>CLÁSICAS|10</v>
      </c>
    </row>
    <row r="30" customFormat="false" ht="15" hidden="false" customHeight="false" outlineLevel="0" collapsed="false">
      <c r="A30" s="21" t="s">
        <v>90</v>
      </c>
      <c r="B30" s="88" t="n">
        <v>46241</v>
      </c>
      <c r="C30" s="21" t="s">
        <v>60</v>
      </c>
      <c r="D30" s="21" t="s">
        <v>42</v>
      </c>
      <c r="E30" s="21" t="s">
        <v>62</v>
      </c>
      <c r="F30" s="70" t="n">
        <v>0.333333333333333</v>
      </c>
      <c r="G30" s="68" t="n">
        <v>935</v>
      </c>
      <c r="H30" s="68" t="n">
        <v>995</v>
      </c>
      <c r="I30" s="68" t="n">
        <v>965.15</v>
      </c>
      <c r="J30" s="68" t="n">
        <v>1024.85</v>
      </c>
      <c r="L30" s="21" t="s">
        <v>47</v>
      </c>
      <c r="M30" s="21" t="s">
        <v>47</v>
      </c>
      <c r="N30" s="21" t="s">
        <v>47</v>
      </c>
      <c r="O30" s="21" t="s">
        <v>47</v>
      </c>
      <c r="P30" s="21" t="s">
        <v>47</v>
      </c>
      <c r="T30" s="3" t="n">
        <f aca="false">IF($E30="","",COUNTIF($E$2:$E30,$E30))</f>
        <v>10</v>
      </c>
      <c r="U30" s="1" t="str">
        <f aca="false">IF($E30="","",$E30&amp;"|"&amp;T30)</f>
        <v>CERVICALES|10</v>
      </c>
    </row>
    <row r="31" customFormat="false" ht="15" hidden="false" customHeight="false" outlineLevel="0" collapsed="false">
      <c r="A31" s="21" t="s">
        <v>91</v>
      </c>
      <c r="B31" s="88" t="n">
        <v>46241</v>
      </c>
      <c r="C31" s="21" t="s">
        <v>60</v>
      </c>
      <c r="D31" s="21" t="s">
        <v>42</v>
      </c>
      <c r="E31" s="21" t="s">
        <v>62</v>
      </c>
      <c r="F31" s="70" t="n">
        <v>0.375</v>
      </c>
      <c r="G31" s="68" t="n">
        <v>935</v>
      </c>
      <c r="H31" s="68" t="n">
        <v>995</v>
      </c>
      <c r="I31" s="68" t="n">
        <v>965.15</v>
      </c>
      <c r="J31" s="68" t="n">
        <v>1024.85</v>
      </c>
      <c r="L31" s="21" t="s">
        <v>47</v>
      </c>
      <c r="M31" s="21" t="s">
        <v>47</v>
      </c>
      <c r="N31" s="21" t="s">
        <v>47</v>
      </c>
      <c r="O31" s="21" t="s">
        <v>47</v>
      </c>
      <c r="P31" s="21" t="s">
        <v>47</v>
      </c>
      <c r="T31" s="3" t="n">
        <f aca="false">IF($E31="","",COUNTIF($E$2:$E31,$E31))</f>
        <v>11</v>
      </c>
      <c r="U31" s="1" t="str">
        <f aca="false">IF($E31="","",$E31&amp;"|"&amp;T31)</f>
        <v>CERVICALES|11</v>
      </c>
    </row>
    <row r="32" customFormat="false" ht="15" hidden="false" customHeight="false" outlineLevel="0" collapsed="false">
      <c r="A32" s="21" t="s">
        <v>92</v>
      </c>
      <c r="B32" s="88" t="n">
        <v>46241</v>
      </c>
      <c r="C32" s="21" t="s">
        <v>60</v>
      </c>
      <c r="D32" s="21" t="s">
        <v>42</v>
      </c>
      <c r="E32" s="21" t="s">
        <v>7</v>
      </c>
      <c r="F32" s="70" t="n">
        <v>0.375</v>
      </c>
      <c r="G32" s="68" t="n">
        <v>970</v>
      </c>
      <c r="H32" s="68" t="n">
        <v>1008</v>
      </c>
      <c r="I32" s="68" t="n">
        <v>977.76</v>
      </c>
      <c r="J32" s="68" t="n">
        <v>1038.24</v>
      </c>
      <c r="L32" s="21" t="s">
        <v>47</v>
      </c>
      <c r="M32" s="21" t="s">
        <v>47</v>
      </c>
      <c r="N32" s="21" t="s">
        <v>47</v>
      </c>
      <c r="O32" s="21" t="s">
        <v>47</v>
      </c>
      <c r="P32" s="21" t="s">
        <v>47</v>
      </c>
      <c r="T32" s="3" t="n">
        <f aca="false">IF($E32="","",COUNTIF($E$2:$E32,$E32))</f>
        <v>11</v>
      </c>
      <c r="U32" s="1" t="str">
        <f aca="false">IF($E32="","",$E32&amp;"|"&amp;T32)</f>
        <v>CLÁSICAS|11</v>
      </c>
    </row>
    <row r="33" customFormat="false" ht="15" hidden="false" customHeight="false" outlineLevel="0" collapsed="false">
      <c r="A33" s="21" t="s">
        <v>93</v>
      </c>
      <c r="B33" s="88" t="n">
        <v>46241</v>
      </c>
      <c r="C33" s="21" t="s">
        <v>60</v>
      </c>
      <c r="D33" s="21" t="s">
        <v>42</v>
      </c>
      <c r="E33" s="21" t="s">
        <v>7</v>
      </c>
      <c r="F33" s="70" t="n">
        <v>0.416666666666667</v>
      </c>
      <c r="G33" s="68" t="n">
        <v>970</v>
      </c>
      <c r="H33" s="68" t="n">
        <v>1008</v>
      </c>
      <c r="I33" s="68" t="n">
        <v>977.76</v>
      </c>
      <c r="J33" s="68" t="n">
        <v>1038.24</v>
      </c>
      <c r="L33" s="21" t="s">
        <v>47</v>
      </c>
      <c r="M33" s="21" t="s">
        <v>47</v>
      </c>
      <c r="N33" s="21" t="s">
        <v>47</v>
      </c>
      <c r="O33" s="21" t="s">
        <v>47</v>
      </c>
      <c r="P33" s="21" t="s">
        <v>47</v>
      </c>
      <c r="T33" s="3" t="n">
        <f aca="false">IF($E33="","",COUNTIF($E$2:$E33,$E33))</f>
        <v>12</v>
      </c>
      <c r="U33" s="1" t="str">
        <f aca="false">IF($E33="","",$E33&amp;"|"&amp;T33)</f>
        <v>CLÁSICAS|12</v>
      </c>
    </row>
    <row r="34" customFormat="false" ht="15" hidden="false" customHeight="false" outlineLevel="0" collapsed="false">
      <c r="A34" s="21" t="s">
        <v>94</v>
      </c>
      <c r="B34" s="88" t="n">
        <v>46241</v>
      </c>
      <c r="C34" s="21" t="s">
        <v>60</v>
      </c>
      <c r="D34" s="21" t="s">
        <v>42</v>
      </c>
      <c r="E34" s="21" t="s">
        <v>62</v>
      </c>
      <c r="F34" s="70" t="n">
        <v>0.416666666666667</v>
      </c>
      <c r="G34" s="68" t="n">
        <v>935</v>
      </c>
      <c r="H34" s="68" t="n">
        <v>995</v>
      </c>
      <c r="I34" s="68" t="n">
        <v>965.15</v>
      </c>
      <c r="J34" s="68" t="n">
        <v>1024.85</v>
      </c>
      <c r="L34" s="21" t="s">
        <v>47</v>
      </c>
      <c r="M34" s="21" t="s">
        <v>47</v>
      </c>
      <c r="N34" s="21" t="s">
        <v>47</v>
      </c>
      <c r="O34" s="21" t="s">
        <v>47</v>
      </c>
      <c r="P34" s="21" t="s">
        <v>47</v>
      </c>
      <c r="T34" s="3" t="n">
        <f aca="false">IF($E34="","",COUNTIF($E$2:$E34,$E34))</f>
        <v>12</v>
      </c>
      <c r="U34" s="1" t="str">
        <f aca="false">IF($E34="","",$E34&amp;"|"&amp;T34)</f>
        <v>CERVICALES|12</v>
      </c>
    </row>
    <row r="35" customFormat="false" ht="15" hidden="false" customHeight="false" outlineLevel="0" collapsed="false">
      <c r="A35" s="21" t="s">
        <v>95</v>
      </c>
      <c r="B35" s="88" t="n">
        <v>46241</v>
      </c>
      <c r="C35" s="21" t="s">
        <v>60</v>
      </c>
      <c r="D35" s="21" t="s">
        <v>42</v>
      </c>
      <c r="E35" s="21" t="s">
        <v>62</v>
      </c>
      <c r="F35" s="70" t="n">
        <v>0.458333333333333</v>
      </c>
      <c r="G35" s="68" t="n">
        <v>935</v>
      </c>
      <c r="H35" s="68" t="n">
        <v>995</v>
      </c>
      <c r="I35" s="68" t="n">
        <v>965.15</v>
      </c>
      <c r="J35" s="68" t="n">
        <v>1024.85</v>
      </c>
      <c r="L35" s="21" t="s">
        <v>47</v>
      </c>
      <c r="M35" s="21" t="s">
        <v>47</v>
      </c>
      <c r="N35" s="21" t="s">
        <v>47</v>
      </c>
      <c r="O35" s="21" t="s">
        <v>47</v>
      </c>
      <c r="P35" s="21" t="s">
        <v>47</v>
      </c>
      <c r="T35" s="3" t="n">
        <f aca="false">IF($E35="","",COUNTIF($E$2:$E35,$E35))</f>
        <v>13</v>
      </c>
      <c r="U35" s="1" t="str">
        <f aca="false">IF($E35="","",$E35&amp;"|"&amp;T35)</f>
        <v>CERVICALES|13</v>
      </c>
    </row>
    <row r="36" customFormat="false" ht="15" hidden="false" customHeight="false" outlineLevel="0" collapsed="false">
      <c r="A36" s="21" t="s">
        <v>96</v>
      </c>
      <c r="B36" s="88" t="n">
        <v>46241</v>
      </c>
      <c r="C36" s="21" t="s">
        <v>60</v>
      </c>
      <c r="D36" s="21" t="s">
        <v>42</v>
      </c>
      <c r="E36" s="21" t="s">
        <v>7</v>
      </c>
      <c r="F36" s="70" t="n">
        <v>0.458333333333333</v>
      </c>
      <c r="G36" s="68" t="n">
        <v>965</v>
      </c>
      <c r="H36" s="68" t="n">
        <v>1008</v>
      </c>
      <c r="I36" s="68" t="n">
        <v>977.76</v>
      </c>
      <c r="J36" s="68" t="n">
        <v>1038.24</v>
      </c>
      <c r="L36" s="21" t="s">
        <v>47</v>
      </c>
      <c r="M36" s="21" t="s">
        <v>47</v>
      </c>
      <c r="N36" s="21" t="s">
        <v>47</v>
      </c>
      <c r="O36" s="21" t="s">
        <v>47</v>
      </c>
      <c r="P36" s="21" t="s">
        <v>47</v>
      </c>
      <c r="T36" s="3" t="n">
        <f aca="false">IF($E36="","",COUNTIF($E$2:$E36,$E36))</f>
        <v>13</v>
      </c>
      <c r="U36" s="1" t="str">
        <f aca="false">IF($E36="","",$E36&amp;"|"&amp;T36)</f>
        <v>CLÁSICAS|13</v>
      </c>
    </row>
    <row r="37" customFormat="false" ht="15" hidden="false" customHeight="false" outlineLevel="0" collapsed="false">
      <c r="A37" s="21" t="s">
        <v>97</v>
      </c>
      <c r="B37" s="88" t="n">
        <v>46244</v>
      </c>
      <c r="C37" s="21" t="s">
        <v>60</v>
      </c>
      <c r="D37" s="21" t="s">
        <v>42</v>
      </c>
      <c r="E37" s="21" t="s">
        <v>7</v>
      </c>
      <c r="F37" s="70" t="n">
        <v>0.25</v>
      </c>
      <c r="G37" s="68" t="n">
        <v>965</v>
      </c>
      <c r="H37" s="68" t="n">
        <v>1008</v>
      </c>
      <c r="I37" s="68" t="n">
        <v>977.76</v>
      </c>
      <c r="J37" s="68" t="n">
        <v>1038.24</v>
      </c>
      <c r="L37" s="21" t="s">
        <v>47</v>
      </c>
      <c r="M37" s="21" t="s">
        <v>47</v>
      </c>
      <c r="N37" s="21" t="s">
        <v>47</v>
      </c>
      <c r="O37" s="21" t="s">
        <v>47</v>
      </c>
      <c r="P37" s="21" t="s">
        <v>47</v>
      </c>
      <c r="T37" s="3" t="n">
        <f aca="false">IF($E37="","",COUNTIF($E$2:$E37,$E37))</f>
        <v>14</v>
      </c>
      <c r="U37" s="1" t="str">
        <f aca="false">IF($E37="","",$E37&amp;"|"&amp;T37)</f>
        <v>CLÁSICAS|14</v>
      </c>
    </row>
    <row r="38" customFormat="false" ht="15" hidden="false" customHeight="false" outlineLevel="0" collapsed="false">
      <c r="A38" s="21" t="s">
        <v>98</v>
      </c>
      <c r="B38" s="88" t="n">
        <v>46244</v>
      </c>
      <c r="C38" s="21" t="s">
        <v>60</v>
      </c>
      <c r="D38" s="21" t="s">
        <v>42</v>
      </c>
      <c r="E38" s="21" t="s">
        <v>62</v>
      </c>
      <c r="F38" s="70" t="n">
        <v>0.25</v>
      </c>
      <c r="G38" s="68" t="n">
        <v>940</v>
      </c>
      <c r="H38" s="68" t="n">
        <v>995</v>
      </c>
      <c r="I38" s="68" t="n">
        <v>965.15</v>
      </c>
      <c r="J38" s="68" t="n">
        <v>1024.85</v>
      </c>
      <c r="L38" s="21" t="s">
        <v>47</v>
      </c>
      <c r="M38" s="21" t="s">
        <v>47</v>
      </c>
      <c r="N38" s="21" t="s">
        <v>47</v>
      </c>
      <c r="O38" s="21" t="s">
        <v>47</v>
      </c>
      <c r="P38" s="21" t="s">
        <v>47</v>
      </c>
      <c r="T38" s="3" t="n">
        <f aca="false">IF($E38="","",COUNTIF($E$2:$E38,$E38))</f>
        <v>14</v>
      </c>
      <c r="U38" s="1" t="str">
        <f aca="false">IF($E38="","",$E38&amp;"|"&amp;T38)</f>
        <v>CERVICALES|14</v>
      </c>
    </row>
    <row r="39" customFormat="false" ht="15" hidden="false" customHeight="false" outlineLevel="0" collapsed="false">
      <c r="A39" s="21" t="s">
        <v>99</v>
      </c>
      <c r="B39" s="88" t="n">
        <v>46244</v>
      </c>
      <c r="C39" s="21" t="s">
        <v>60</v>
      </c>
      <c r="D39" s="21" t="s">
        <v>42</v>
      </c>
      <c r="E39" s="21" t="s">
        <v>62</v>
      </c>
      <c r="F39" s="70" t="n">
        <v>0.291666666666667</v>
      </c>
      <c r="G39" s="68" t="n">
        <v>940</v>
      </c>
      <c r="H39" s="68" t="n">
        <v>995</v>
      </c>
      <c r="I39" s="68" t="n">
        <v>965.15</v>
      </c>
      <c r="J39" s="68" t="n">
        <v>1024.85</v>
      </c>
      <c r="L39" s="21" t="s">
        <v>47</v>
      </c>
      <c r="M39" s="21" t="s">
        <v>47</v>
      </c>
      <c r="N39" s="21" t="s">
        <v>47</v>
      </c>
      <c r="O39" s="21" t="s">
        <v>47</v>
      </c>
      <c r="P39" s="21" t="s">
        <v>47</v>
      </c>
      <c r="T39" s="3" t="n">
        <f aca="false">IF($E39="","",COUNTIF($E$2:$E39,$E39))</f>
        <v>15</v>
      </c>
      <c r="U39" s="1" t="str">
        <f aca="false">IF($E39="","",$E39&amp;"|"&amp;T39)</f>
        <v>CERVICALES|15</v>
      </c>
    </row>
    <row r="40" customFormat="false" ht="15" hidden="false" customHeight="false" outlineLevel="0" collapsed="false">
      <c r="A40" s="21" t="s">
        <v>100</v>
      </c>
      <c r="B40" s="88" t="n">
        <v>46244</v>
      </c>
      <c r="C40" s="21" t="s">
        <v>60</v>
      </c>
      <c r="D40" s="21" t="s">
        <v>42</v>
      </c>
      <c r="E40" s="21" t="s">
        <v>7</v>
      </c>
      <c r="F40" s="70" t="n">
        <v>0.291666666666667</v>
      </c>
      <c r="G40" s="68" t="n">
        <v>965</v>
      </c>
      <c r="H40" s="68" t="n">
        <v>1008</v>
      </c>
      <c r="I40" s="68" t="n">
        <v>977.76</v>
      </c>
      <c r="J40" s="68" t="n">
        <v>1038.24</v>
      </c>
      <c r="L40" s="21" t="s">
        <v>47</v>
      </c>
      <c r="M40" s="21" t="s">
        <v>47</v>
      </c>
      <c r="N40" s="21" t="s">
        <v>47</v>
      </c>
      <c r="O40" s="21" t="s">
        <v>47</v>
      </c>
      <c r="P40" s="21" t="s">
        <v>47</v>
      </c>
      <c r="T40" s="3" t="n">
        <f aca="false">IF($E40="","",COUNTIF($E$2:$E40,$E40))</f>
        <v>15</v>
      </c>
      <c r="U40" s="1" t="str">
        <f aca="false">IF($E40="","",$E40&amp;"|"&amp;T40)</f>
        <v>CLÁSICAS|15</v>
      </c>
    </row>
    <row r="41" customFormat="false" ht="15" hidden="false" customHeight="false" outlineLevel="0" collapsed="false">
      <c r="A41" s="21" t="s">
        <v>101</v>
      </c>
      <c r="B41" s="88" t="n">
        <v>46244</v>
      </c>
      <c r="C41" s="21" t="s">
        <v>60</v>
      </c>
      <c r="D41" s="21" t="s">
        <v>42</v>
      </c>
      <c r="E41" s="21" t="s">
        <v>7</v>
      </c>
      <c r="F41" s="70" t="n">
        <v>0.333333333333333</v>
      </c>
      <c r="G41" s="68" t="n">
        <v>965</v>
      </c>
      <c r="H41" s="68" t="n">
        <v>1008</v>
      </c>
      <c r="I41" s="68" t="n">
        <v>977.76</v>
      </c>
      <c r="J41" s="68" t="n">
        <v>1038.24</v>
      </c>
      <c r="L41" s="21" t="s">
        <v>47</v>
      </c>
      <c r="M41" s="21" t="s">
        <v>47</v>
      </c>
      <c r="N41" s="21" t="s">
        <v>47</v>
      </c>
      <c r="O41" s="21" t="s">
        <v>47</v>
      </c>
      <c r="P41" s="21" t="s">
        <v>47</v>
      </c>
      <c r="T41" s="3" t="n">
        <f aca="false">IF($E41="","",COUNTIF($E$2:$E41,$E41))</f>
        <v>16</v>
      </c>
      <c r="U41" s="1" t="str">
        <f aca="false">IF($E41="","",$E41&amp;"|"&amp;T41)</f>
        <v>CLÁSICAS|16</v>
      </c>
    </row>
    <row r="42" customFormat="false" ht="15" hidden="false" customHeight="false" outlineLevel="0" collapsed="false">
      <c r="A42" s="21" t="s">
        <v>102</v>
      </c>
      <c r="B42" s="88" t="n">
        <v>46244</v>
      </c>
      <c r="C42" s="21" t="s">
        <v>60</v>
      </c>
      <c r="D42" s="21" t="s">
        <v>42</v>
      </c>
      <c r="E42" s="21" t="s">
        <v>62</v>
      </c>
      <c r="F42" s="70" t="n">
        <v>0.333333333333333</v>
      </c>
      <c r="G42" s="68" t="n">
        <v>945</v>
      </c>
      <c r="H42" s="68" t="n">
        <v>995</v>
      </c>
      <c r="I42" s="68" t="n">
        <v>965.15</v>
      </c>
      <c r="J42" s="68" t="n">
        <v>1024.85</v>
      </c>
      <c r="L42" s="21" t="s">
        <v>47</v>
      </c>
      <c r="M42" s="21" t="s">
        <v>47</v>
      </c>
      <c r="N42" s="21" t="s">
        <v>47</v>
      </c>
      <c r="O42" s="21" t="s">
        <v>47</v>
      </c>
      <c r="P42" s="21" t="s">
        <v>47</v>
      </c>
      <c r="T42" s="3" t="n">
        <f aca="false">IF($E42="","",COUNTIF($E$2:$E42,$E42))</f>
        <v>16</v>
      </c>
      <c r="U42" s="1" t="str">
        <f aca="false">IF($E42="","",$E42&amp;"|"&amp;T42)</f>
        <v>CERVICALES|16</v>
      </c>
    </row>
    <row r="43" customFormat="false" ht="15" hidden="false" customHeight="false" outlineLevel="0" collapsed="false">
      <c r="A43" s="21" t="s">
        <v>103</v>
      </c>
      <c r="B43" s="88" t="n">
        <v>46244</v>
      </c>
      <c r="C43" s="21" t="s">
        <v>60</v>
      </c>
      <c r="D43" s="21" t="s">
        <v>42</v>
      </c>
      <c r="E43" s="21" t="s">
        <v>62</v>
      </c>
      <c r="F43" s="70" t="n">
        <v>0.375</v>
      </c>
      <c r="G43" s="68" t="n">
        <v>945</v>
      </c>
      <c r="H43" s="68" t="n">
        <v>995</v>
      </c>
      <c r="I43" s="68" t="n">
        <v>965.15</v>
      </c>
      <c r="J43" s="68" t="n">
        <v>1024.85</v>
      </c>
      <c r="L43" s="21" t="s">
        <v>47</v>
      </c>
      <c r="M43" s="21" t="s">
        <v>47</v>
      </c>
      <c r="N43" s="21" t="s">
        <v>47</v>
      </c>
      <c r="O43" s="21" t="s">
        <v>47</v>
      </c>
      <c r="P43" s="21" t="s">
        <v>47</v>
      </c>
      <c r="T43" s="3" t="n">
        <f aca="false">IF($E43="","",COUNTIF($E$2:$E43,$E43))</f>
        <v>17</v>
      </c>
      <c r="U43" s="1" t="str">
        <f aca="false">IF($E43="","",$E43&amp;"|"&amp;T43)</f>
        <v>CERVICALES|17</v>
      </c>
    </row>
    <row r="44" customFormat="false" ht="15" hidden="false" customHeight="false" outlineLevel="0" collapsed="false">
      <c r="A44" s="21" t="s">
        <v>104</v>
      </c>
      <c r="B44" s="88" t="n">
        <v>46244</v>
      </c>
      <c r="C44" s="21" t="s">
        <v>60</v>
      </c>
      <c r="D44" s="21" t="s">
        <v>42</v>
      </c>
      <c r="E44" s="21" t="s">
        <v>7</v>
      </c>
      <c r="F44" s="70" t="n">
        <v>0.375</v>
      </c>
      <c r="G44" s="68" t="n">
        <v>970</v>
      </c>
      <c r="H44" s="68" t="n">
        <v>1008</v>
      </c>
      <c r="I44" s="68" t="n">
        <v>977.76</v>
      </c>
      <c r="J44" s="68" t="n">
        <v>1038.24</v>
      </c>
      <c r="L44" s="21" t="s">
        <v>47</v>
      </c>
      <c r="M44" s="21" t="s">
        <v>47</v>
      </c>
      <c r="N44" s="21" t="s">
        <v>47</v>
      </c>
      <c r="O44" s="21" t="s">
        <v>47</v>
      </c>
      <c r="P44" s="21" t="s">
        <v>47</v>
      </c>
      <c r="T44" s="3" t="n">
        <f aca="false">IF($E44="","",COUNTIF($E$2:$E44,$E44))</f>
        <v>17</v>
      </c>
      <c r="U44" s="1" t="str">
        <f aca="false">IF($E44="","",$E44&amp;"|"&amp;T44)</f>
        <v>CLÁSICAS|17</v>
      </c>
    </row>
    <row r="45" customFormat="false" ht="15" hidden="false" customHeight="false" outlineLevel="0" collapsed="false">
      <c r="A45" s="21" t="s">
        <v>105</v>
      </c>
      <c r="B45" s="88" t="n">
        <v>46244</v>
      </c>
      <c r="C45" s="21" t="s">
        <v>106</v>
      </c>
      <c r="D45" s="21" t="s">
        <v>42</v>
      </c>
      <c r="E45" s="21" t="s">
        <v>7</v>
      </c>
      <c r="F45" s="70" t="n">
        <v>0.416666666666667</v>
      </c>
      <c r="G45" s="68" t="n">
        <v>970</v>
      </c>
      <c r="H45" s="68" t="n">
        <v>1008</v>
      </c>
      <c r="I45" s="68" t="n">
        <v>977.76</v>
      </c>
      <c r="J45" s="68" t="n">
        <v>1038.24</v>
      </c>
      <c r="L45" s="21" t="s">
        <v>47</v>
      </c>
      <c r="M45" s="21" t="s">
        <v>47</v>
      </c>
      <c r="N45" s="21" t="s">
        <v>47</v>
      </c>
      <c r="O45" s="21" t="s">
        <v>47</v>
      </c>
      <c r="P45" s="21" t="s">
        <v>47</v>
      </c>
      <c r="T45" s="3" t="n">
        <f aca="false">IF($E45="","",COUNTIF($E$2:$E45,$E45))</f>
        <v>18</v>
      </c>
      <c r="U45" s="1" t="str">
        <f aca="false">IF($E45="","",$E45&amp;"|"&amp;T45)</f>
        <v>CLÁSICAS|18</v>
      </c>
    </row>
    <row r="46" customFormat="false" ht="15" hidden="false" customHeight="false" outlineLevel="0" collapsed="false">
      <c r="A46" s="21" t="s">
        <v>107</v>
      </c>
      <c r="B46" s="88" t="n">
        <v>46244</v>
      </c>
      <c r="C46" s="21" t="s">
        <v>106</v>
      </c>
      <c r="D46" s="21" t="s">
        <v>42</v>
      </c>
      <c r="E46" s="21" t="s">
        <v>62</v>
      </c>
      <c r="F46" s="70" t="n">
        <v>0.416666666666667</v>
      </c>
      <c r="G46" s="68" t="n">
        <v>970</v>
      </c>
      <c r="H46" s="68" t="n">
        <v>995</v>
      </c>
      <c r="I46" s="68" t="n">
        <v>965.15</v>
      </c>
      <c r="J46" s="68" t="n">
        <v>1024.85</v>
      </c>
      <c r="L46" s="21" t="s">
        <v>47</v>
      </c>
      <c r="M46" s="21" t="s">
        <v>47</v>
      </c>
      <c r="N46" s="21" t="s">
        <v>47</v>
      </c>
      <c r="O46" s="21" t="s">
        <v>47</v>
      </c>
      <c r="P46" s="21" t="s">
        <v>47</v>
      </c>
      <c r="T46" s="3" t="n">
        <f aca="false">IF($E46="","",COUNTIF($E$2:$E46,$E46))</f>
        <v>18</v>
      </c>
      <c r="U46" s="1" t="str">
        <f aca="false">IF($E46="","",$E46&amp;"|"&amp;T46)</f>
        <v>CERVICALES|18</v>
      </c>
    </row>
    <row r="47" customFormat="false" ht="15" hidden="false" customHeight="false" outlineLevel="0" collapsed="false">
      <c r="A47" s="21" t="s">
        <v>108</v>
      </c>
      <c r="B47" s="88" t="n">
        <v>46244</v>
      </c>
      <c r="C47" s="21" t="s">
        <v>106</v>
      </c>
      <c r="D47" s="21" t="s">
        <v>42</v>
      </c>
      <c r="E47" s="21" t="s">
        <v>62</v>
      </c>
      <c r="F47" s="70" t="n">
        <v>0.458333333333333</v>
      </c>
      <c r="G47" s="68" t="n">
        <v>970</v>
      </c>
      <c r="H47" s="68" t="n">
        <v>995</v>
      </c>
      <c r="I47" s="68" t="n">
        <v>965.15</v>
      </c>
      <c r="J47" s="68" t="n">
        <v>1024.85</v>
      </c>
      <c r="L47" s="21" t="s">
        <v>47</v>
      </c>
      <c r="M47" s="21" t="s">
        <v>47</v>
      </c>
      <c r="N47" s="21" t="s">
        <v>47</v>
      </c>
      <c r="O47" s="21" t="s">
        <v>47</v>
      </c>
      <c r="P47" s="21" t="s">
        <v>47</v>
      </c>
      <c r="T47" s="3" t="n">
        <f aca="false">IF($E47="","",COUNTIF($E$2:$E47,$E47))</f>
        <v>19</v>
      </c>
      <c r="U47" s="1" t="str">
        <f aca="false">IF($E47="","",$E47&amp;"|"&amp;T47)</f>
        <v>CERVICALES|19</v>
      </c>
    </row>
    <row r="48" customFormat="false" ht="15" hidden="false" customHeight="false" outlineLevel="0" collapsed="false">
      <c r="A48" s="21" t="s">
        <v>109</v>
      </c>
      <c r="B48" s="88" t="n">
        <v>46244</v>
      </c>
      <c r="C48" s="21" t="s">
        <v>106</v>
      </c>
      <c r="D48" s="21" t="s">
        <v>42</v>
      </c>
      <c r="E48" s="21" t="s">
        <v>7</v>
      </c>
      <c r="F48" s="70" t="n">
        <v>0.458333333333333</v>
      </c>
      <c r="G48" s="68" t="n">
        <v>970</v>
      </c>
      <c r="H48" s="68" t="n">
        <v>1008</v>
      </c>
      <c r="I48" s="68" t="n">
        <v>977.76</v>
      </c>
      <c r="J48" s="68" t="n">
        <v>1038.24</v>
      </c>
      <c r="L48" s="21" t="s">
        <v>47</v>
      </c>
      <c r="M48" s="21" t="s">
        <v>47</v>
      </c>
      <c r="N48" s="21" t="s">
        <v>47</v>
      </c>
      <c r="O48" s="21" t="s">
        <v>47</v>
      </c>
      <c r="P48" s="21" t="s">
        <v>47</v>
      </c>
      <c r="T48" s="3" t="n">
        <f aca="false">IF($E48="","",COUNTIF($E$2:$E48,$E48))</f>
        <v>19</v>
      </c>
      <c r="U48" s="1" t="str">
        <f aca="false">IF($E48="","",$E48&amp;"|"&amp;T48)</f>
        <v>CLÁSICAS|19</v>
      </c>
    </row>
    <row r="49" customFormat="false" ht="15" hidden="false" customHeight="false" outlineLevel="0" collapsed="false">
      <c r="A49" s="21" t="s">
        <v>110</v>
      </c>
      <c r="B49" s="88" t="n">
        <v>46244</v>
      </c>
      <c r="C49" s="21" t="s">
        <v>106</v>
      </c>
      <c r="D49" s="21" t="s">
        <v>42</v>
      </c>
      <c r="E49" s="21" t="s">
        <v>7</v>
      </c>
      <c r="F49" s="70" t="n">
        <v>0.5</v>
      </c>
      <c r="G49" s="68" t="n">
        <v>940</v>
      </c>
      <c r="H49" s="68" t="n">
        <v>1008</v>
      </c>
      <c r="I49" s="68" t="n">
        <v>977.76</v>
      </c>
      <c r="J49" s="68" t="n">
        <v>1038.24</v>
      </c>
      <c r="L49" s="21" t="s">
        <v>47</v>
      </c>
      <c r="M49" s="21" t="s">
        <v>47</v>
      </c>
      <c r="N49" s="21" t="s">
        <v>47</v>
      </c>
      <c r="O49" s="21" t="s">
        <v>47</v>
      </c>
      <c r="P49" s="21" t="s">
        <v>47</v>
      </c>
      <c r="T49" s="3" t="n">
        <f aca="false">IF($E49="","",COUNTIF($E$2:$E49,$E49))</f>
        <v>20</v>
      </c>
      <c r="U49" s="1" t="str">
        <f aca="false">IF($E49="","",$E49&amp;"|"&amp;T49)</f>
        <v>CLÁSICAS|20</v>
      </c>
    </row>
    <row r="50" customFormat="false" ht="15" hidden="false" customHeight="false" outlineLevel="0" collapsed="false">
      <c r="A50" s="21" t="s">
        <v>111</v>
      </c>
      <c r="B50" s="88" t="n">
        <v>46244</v>
      </c>
      <c r="C50" s="21" t="s">
        <v>106</v>
      </c>
      <c r="D50" s="21" t="s">
        <v>42</v>
      </c>
      <c r="E50" s="21" t="s">
        <v>62</v>
      </c>
      <c r="F50" s="70" t="n">
        <v>0.5</v>
      </c>
      <c r="G50" s="68" t="n">
        <v>940</v>
      </c>
      <c r="H50" s="68" t="n">
        <v>995</v>
      </c>
      <c r="I50" s="68" t="n">
        <v>965.15</v>
      </c>
      <c r="J50" s="68" t="n">
        <v>1024.85</v>
      </c>
      <c r="L50" s="21" t="s">
        <v>47</v>
      </c>
      <c r="M50" s="21" t="s">
        <v>47</v>
      </c>
      <c r="N50" s="21" t="s">
        <v>47</v>
      </c>
      <c r="O50" s="21" t="s">
        <v>47</v>
      </c>
      <c r="P50" s="21" t="s">
        <v>47</v>
      </c>
      <c r="T50" s="3" t="n">
        <f aca="false">IF($E50="","",COUNTIF($E$2:$E50,$E50))</f>
        <v>20</v>
      </c>
      <c r="U50" s="1" t="str">
        <f aca="false">IF($E50="","",$E50&amp;"|"&amp;T50)</f>
        <v>CERVICALES|20</v>
      </c>
    </row>
    <row r="51" customFormat="false" ht="15" hidden="false" customHeight="false" outlineLevel="0" collapsed="false">
      <c r="A51" s="21" t="s">
        <v>112</v>
      </c>
      <c r="B51" s="88" t="n">
        <v>46244</v>
      </c>
      <c r="C51" s="21" t="s">
        <v>106</v>
      </c>
      <c r="D51" s="21" t="s">
        <v>42</v>
      </c>
      <c r="E51" s="21" t="s">
        <v>62</v>
      </c>
      <c r="F51" s="70" t="n">
        <v>0.541666666666667</v>
      </c>
      <c r="G51" s="68" t="n">
        <v>940</v>
      </c>
      <c r="H51" s="68" t="n">
        <v>995</v>
      </c>
      <c r="I51" s="68" t="n">
        <v>965.15</v>
      </c>
      <c r="J51" s="68" t="n">
        <v>1024.85</v>
      </c>
      <c r="L51" s="21" t="s">
        <v>47</v>
      </c>
      <c r="M51" s="21" t="s">
        <v>47</v>
      </c>
      <c r="N51" s="21" t="s">
        <v>47</v>
      </c>
      <c r="O51" s="21" t="s">
        <v>47</v>
      </c>
      <c r="P51" s="21" t="s">
        <v>47</v>
      </c>
      <c r="T51" s="3" t="n">
        <f aca="false">IF($E51="","",COUNTIF($E$2:$E51,$E51))</f>
        <v>21</v>
      </c>
      <c r="U51" s="1" t="str">
        <f aca="false">IF($E51="","",$E51&amp;"|"&amp;T51)</f>
        <v>CERVICALES|21</v>
      </c>
    </row>
    <row r="52" customFormat="false" ht="15" hidden="false" customHeight="false" outlineLevel="0" collapsed="false">
      <c r="A52" s="21" t="s">
        <v>113</v>
      </c>
      <c r="B52" s="88" t="n">
        <v>46244</v>
      </c>
      <c r="C52" s="21" t="s">
        <v>106</v>
      </c>
      <c r="D52" s="21" t="s">
        <v>42</v>
      </c>
      <c r="E52" s="21" t="s">
        <v>7</v>
      </c>
      <c r="F52" s="70" t="n">
        <v>0.541666666666667</v>
      </c>
      <c r="G52" s="68" t="n">
        <v>940</v>
      </c>
      <c r="H52" s="68" t="n">
        <v>1008</v>
      </c>
      <c r="I52" s="68" t="n">
        <v>977.76</v>
      </c>
      <c r="J52" s="68" t="n">
        <v>1038.24</v>
      </c>
      <c r="L52" s="21" t="s">
        <v>47</v>
      </c>
      <c r="M52" s="21" t="s">
        <v>47</v>
      </c>
      <c r="N52" s="21" t="s">
        <v>47</v>
      </c>
      <c r="O52" s="21" t="s">
        <v>47</v>
      </c>
      <c r="P52" s="21" t="s">
        <v>47</v>
      </c>
      <c r="T52" s="3" t="n">
        <f aca="false">IF($E52="","",COUNTIF($E$2:$E52,$E52))</f>
        <v>21</v>
      </c>
      <c r="U52" s="1" t="str">
        <f aca="false">IF($E52="","",$E52&amp;"|"&amp;T52)</f>
        <v>CLÁSICAS|21</v>
      </c>
    </row>
    <row r="53" customFormat="false" ht="15" hidden="false" customHeight="false" outlineLevel="0" collapsed="false">
      <c r="A53" s="21" t="s">
        <v>114</v>
      </c>
      <c r="B53" s="88" t="n">
        <v>46245</v>
      </c>
      <c r="C53" s="21" t="s">
        <v>60</v>
      </c>
      <c r="D53" s="21" t="s">
        <v>42</v>
      </c>
      <c r="E53" s="21" t="s">
        <v>7</v>
      </c>
      <c r="F53" s="70" t="n">
        <v>0.25</v>
      </c>
      <c r="G53" s="68" t="n">
        <v>860</v>
      </c>
      <c r="H53" s="68" t="n">
        <v>1008</v>
      </c>
      <c r="I53" s="68" t="n">
        <v>977.76</v>
      </c>
      <c r="J53" s="68" t="n">
        <v>1038.24</v>
      </c>
      <c r="L53" s="21" t="s">
        <v>47</v>
      </c>
      <c r="M53" s="21" t="s">
        <v>47</v>
      </c>
      <c r="N53" s="21" t="s">
        <v>47</v>
      </c>
      <c r="O53" s="21" t="s">
        <v>47</v>
      </c>
      <c r="P53" s="21" t="s">
        <v>47</v>
      </c>
      <c r="T53" s="3" t="n">
        <f aca="false">IF($E53="","",COUNTIF($E$2:$E53,$E53))</f>
        <v>22</v>
      </c>
      <c r="U53" s="1" t="str">
        <f aca="false">IF($E53="","",$E53&amp;"|"&amp;T53)</f>
        <v>CLÁSICAS|22</v>
      </c>
    </row>
    <row r="54" customFormat="false" ht="15" hidden="false" customHeight="false" outlineLevel="0" collapsed="false">
      <c r="A54" s="21" t="s">
        <v>115</v>
      </c>
      <c r="B54" s="88" t="n">
        <v>46245</v>
      </c>
      <c r="C54" s="21" t="s">
        <v>60</v>
      </c>
      <c r="D54" s="21" t="s">
        <v>42</v>
      </c>
      <c r="E54" s="21" t="s">
        <v>62</v>
      </c>
      <c r="F54" s="70" t="n">
        <v>0.25</v>
      </c>
      <c r="G54" s="68" t="n">
        <v>850</v>
      </c>
      <c r="H54" s="68" t="n">
        <v>995</v>
      </c>
      <c r="I54" s="68" t="n">
        <v>965.15</v>
      </c>
      <c r="J54" s="68" t="n">
        <v>1024.85</v>
      </c>
      <c r="L54" s="21" t="s">
        <v>47</v>
      </c>
      <c r="M54" s="21" t="s">
        <v>47</v>
      </c>
      <c r="N54" s="21" t="s">
        <v>47</v>
      </c>
      <c r="O54" s="21" t="s">
        <v>47</v>
      </c>
      <c r="P54" s="21" t="s">
        <v>47</v>
      </c>
      <c r="T54" s="3" t="n">
        <f aca="false">IF($E54="","",COUNTIF($E$2:$E54,$E54))</f>
        <v>22</v>
      </c>
      <c r="U54" s="1" t="str">
        <f aca="false">IF($E54="","",$E54&amp;"|"&amp;T54)</f>
        <v>CERVICALES|22</v>
      </c>
    </row>
    <row r="55" customFormat="false" ht="15" hidden="false" customHeight="false" outlineLevel="0" collapsed="false">
      <c r="A55" s="21" t="s">
        <v>116</v>
      </c>
      <c r="B55" s="88" t="n">
        <v>46245</v>
      </c>
      <c r="C55" s="21" t="s">
        <v>60</v>
      </c>
      <c r="D55" s="21" t="s">
        <v>42</v>
      </c>
      <c r="E55" s="21" t="s">
        <v>62</v>
      </c>
      <c r="F55" s="70" t="n">
        <v>0.291666666666667</v>
      </c>
      <c r="G55" s="68" t="n">
        <v>850</v>
      </c>
      <c r="H55" s="68" t="n">
        <v>995</v>
      </c>
      <c r="I55" s="68" t="n">
        <v>965.15</v>
      </c>
      <c r="J55" s="68" t="n">
        <v>1024.85</v>
      </c>
      <c r="L55" s="21" t="s">
        <v>47</v>
      </c>
      <c r="M55" s="21" t="s">
        <v>47</v>
      </c>
      <c r="N55" s="21" t="s">
        <v>47</v>
      </c>
      <c r="O55" s="21" t="s">
        <v>47</v>
      </c>
      <c r="P55" s="21" t="s">
        <v>47</v>
      </c>
      <c r="T55" s="3" t="n">
        <f aca="false">IF($E55="","",COUNTIF($E$2:$E55,$E55))</f>
        <v>23</v>
      </c>
      <c r="U55" s="1" t="str">
        <f aca="false">IF($E55="","",$E55&amp;"|"&amp;T55)</f>
        <v>CERVICALES|23</v>
      </c>
    </row>
    <row r="56" customFormat="false" ht="15" hidden="false" customHeight="false" outlineLevel="0" collapsed="false">
      <c r="A56" s="21" t="s">
        <v>117</v>
      </c>
      <c r="B56" s="88" t="n">
        <v>46245</v>
      </c>
      <c r="C56" s="21" t="s">
        <v>60</v>
      </c>
      <c r="D56" s="21" t="s">
        <v>42</v>
      </c>
      <c r="E56" s="21" t="s">
        <v>7</v>
      </c>
      <c r="F56" s="70" t="n">
        <v>0.291666666666667</v>
      </c>
      <c r="G56" s="68" t="n">
        <v>855</v>
      </c>
      <c r="H56" s="68" t="n">
        <v>1008</v>
      </c>
      <c r="I56" s="68" t="n">
        <v>977.76</v>
      </c>
      <c r="J56" s="68" t="n">
        <v>1038.24</v>
      </c>
      <c r="L56" s="21" t="s">
        <v>47</v>
      </c>
      <c r="M56" s="21" t="s">
        <v>47</v>
      </c>
      <c r="N56" s="21" t="s">
        <v>47</v>
      </c>
      <c r="O56" s="21" t="s">
        <v>47</v>
      </c>
      <c r="P56" s="21" t="s">
        <v>47</v>
      </c>
      <c r="T56" s="3" t="n">
        <f aca="false">IF($E56="","",COUNTIF($E$2:$E56,$E56))</f>
        <v>23</v>
      </c>
      <c r="U56" s="1" t="str">
        <f aca="false">IF($E56="","",$E56&amp;"|"&amp;T56)</f>
        <v>CLÁSICAS|23</v>
      </c>
    </row>
    <row r="57" customFormat="false" ht="15" hidden="false" customHeight="false" outlineLevel="0" collapsed="false">
      <c r="A57" s="21" t="s">
        <v>118</v>
      </c>
      <c r="B57" s="88" t="n">
        <v>46245</v>
      </c>
      <c r="C57" s="21" t="s">
        <v>60</v>
      </c>
      <c r="D57" s="21" t="s">
        <v>42</v>
      </c>
      <c r="E57" s="21" t="s">
        <v>7</v>
      </c>
      <c r="F57" s="70" t="n">
        <v>0.333333333333333</v>
      </c>
      <c r="G57" s="68" t="n">
        <v>855</v>
      </c>
      <c r="H57" s="68" t="n">
        <v>1008</v>
      </c>
      <c r="I57" s="68" t="n">
        <v>977.76</v>
      </c>
      <c r="J57" s="68" t="n">
        <v>1038.24</v>
      </c>
      <c r="L57" s="21" t="s">
        <v>47</v>
      </c>
      <c r="M57" s="21" t="s">
        <v>47</v>
      </c>
      <c r="N57" s="21" t="s">
        <v>47</v>
      </c>
      <c r="O57" s="21" t="s">
        <v>47</v>
      </c>
      <c r="P57" s="21" t="s">
        <v>47</v>
      </c>
      <c r="T57" s="3" t="n">
        <f aca="false">IF($E57="","",COUNTIF($E$2:$E57,$E57))</f>
        <v>24</v>
      </c>
      <c r="U57" s="1" t="str">
        <f aca="false">IF($E57="","",$E57&amp;"|"&amp;T57)</f>
        <v>CLÁSICAS|24</v>
      </c>
    </row>
    <row r="58" customFormat="false" ht="15" hidden="false" customHeight="false" outlineLevel="0" collapsed="false">
      <c r="A58" s="21" t="s">
        <v>119</v>
      </c>
      <c r="B58" s="88" t="n">
        <v>46245</v>
      </c>
      <c r="C58" s="21" t="s">
        <v>60</v>
      </c>
      <c r="D58" s="21" t="s">
        <v>42</v>
      </c>
      <c r="E58" s="21" t="s">
        <v>62</v>
      </c>
      <c r="F58" s="70" t="n">
        <v>0.333333333333333</v>
      </c>
      <c r="G58" s="68" t="n">
        <v>845</v>
      </c>
      <c r="H58" s="68" t="n">
        <v>995</v>
      </c>
      <c r="I58" s="68" t="n">
        <v>965.15</v>
      </c>
      <c r="J58" s="68" t="n">
        <v>1024.85</v>
      </c>
      <c r="L58" s="21" t="s">
        <v>47</v>
      </c>
      <c r="M58" s="21" t="s">
        <v>47</v>
      </c>
      <c r="N58" s="21" t="s">
        <v>47</v>
      </c>
      <c r="O58" s="21" t="s">
        <v>47</v>
      </c>
      <c r="P58" s="21" t="s">
        <v>47</v>
      </c>
      <c r="T58" s="3" t="n">
        <f aca="false">IF($E58="","",COUNTIF($E$2:$E58,$E58))</f>
        <v>24</v>
      </c>
      <c r="U58" s="1" t="str">
        <f aca="false">IF($E58="","",$E58&amp;"|"&amp;T58)</f>
        <v>CERVICALES|24</v>
      </c>
    </row>
    <row r="59" customFormat="false" ht="15" hidden="false" customHeight="false" outlineLevel="0" collapsed="false">
      <c r="A59" s="21" t="s">
        <v>120</v>
      </c>
      <c r="B59" s="88" t="n">
        <v>46245</v>
      </c>
      <c r="C59" s="21" t="s">
        <v>60</v>
      </c>
      <c r="D59" s="21" t="s">
        <v>42</v>
      </c>
      <c r="E59" s="21" t="s">
        <v>62</v>
      </c>
      <c r="F59" s="70" t="n">
        <v>0.375</v>
      </c>
      <c r="G59" s="68" t="n">
        <v>845</v>
      </c>
      <c r="H59" s="68" t="n">
        <v>995</v>
      </c>
      <c r="I59" s="68" t="n">
        <v>965.15</v>
      </c>
      <c r="J59" s="68" t="n">
        <v>1024.85</v>
      </c>
      <c r="L59" s="21" t="s">
        <v>47</v>
      </c>
      <c r="M59" s="21" t="s">
        <v>47</v>
      </c>
      <c r="N59" s="21" t="s">
        <v>47</v>
      </c>
      <c r="O59" s="21" t="s">
        <v>47</v>
      </c>
      <c r="P59" s="21" t="s">
        <v>47</v>
      </c>
      <c r="T59" s="3" t="n">
        <f aca="false">IF($E59="","",COUNTIF($E$2:$E59,$E59))</f>
        <v>25</v>
      </c>
      <c r="U59" s="1" t="str">
        <f aca="false">IF($E59="","",$E59&amp;"|"&amp;T59)</f>
        <v>CERVICALES|25</v>
      </c>
    </row>
    <row r="60" customFormat="false" ht="15" hidden="false" customHeight="false" outlineLevel="0" collapsed="false">
      <c r="A60" s="21" t="s">
        <v>121</v>
      </c>
      <c r="B60" s="88" t="n">
        <v>46245</v>
      </c>
      <c r="C60" s="21" t="s">
        <v>60</v>
      </c>
      <c r="D60" s="21" t="s">
        <v>42</v>
      </c>
      <c r="E60" s="21" t="s">
        <v>7</v>
      </c>
      <c r="F60" s="70" t="n">
        <v>0.375</v>
      </c>
      <c r="G60" s="68" t="n">
        <v>855</v>
      </c>
      <c r="H60" s="68" t="n">
        <v>1008</v>
      </c>
      <c r="I60" s="68" t="n">
        <v>977.76</v>
      </c>
      <c r="J60" s="68" t="n">
        <v>1038.24</v>
      </c>
      <c r="L60" s="21" t="s">
        <v>47</v>
      </c>
      <c r="M60" s="21" t="s">
        <v>47</v>
      </c>
      <c r="N60" s="21" t="s">
        <v>47</v>
      </c>
      <c r="O60" s="21" t="s">
        <v>47</v>
      </c>
      <c r="P60" s="21" t="s">
        <v>47</v>
      </c>
      <c r="T60" s="3" t="n">
        <f aca="false">IF($E60="","",COUNTIF($E$2:$E60,$E60))</f>
        <v>25</v>
      </c>
      <c r="U60" s="1" t="str">
        <f aca="false">IF($E60="","",$E60&amp;"|"&amp;T60)</f>
        <v>CLÁSICAS|25</v>
      </c>
    </row>
    <row r="61" customFormat="false" ht="15" hidden="false" customHeight="false" outlineLevel="0" collapsed="false">
      <c r="A61" s="21" t="s">
        <v>122</v>
      </c>
      <c r="B61" s="88" t="n">
        <v>46245</v>
      </c>
      <c r="C61" s="21" t="s">
        <v>106</v>
      </c>
      <c r="D61" s="21" t="s">
        <v>42</v>
      </c>
      <c r="E61" s="21" t="s">
        <v>7</v>
      </c>
      <c r="F61" s="70" t="n">
        <v>0.416666666666667</v>
      </c>
      <c r="G61" s="68" t="n">
        <v>855</v>
      </c>
      <c r="H61" s="68" t="n">
        <v>1008</v>
      </c>
      <c r="I61" s="68" t="n">
        <v>977.76</v>
      </c>
      <c r="J61" s="68" t="n">
        <v>1038.24</v>
      </c>
      <c r="L61" s="21" t="s">
        <v>47</v>
      </c>
      <c r="M61" s="21" t="s">
        <v>47</v>
      </c>
      <c r="N61" s="21" t="s">
        <v>47</v>
      </c>
      <c r="O61" s="21" t="s">
        <v>47</v>
      </c>
      <c r="P61" s="21" t="s">
        <v>47</v>
      </c>
      <c r="T61" s="3" t="n">
        <f aca="false">IF($E61="","",COUNTIF($E$2:$E61,$E61))</f>
        <v>26</v>
      </c>
      <c r="U61" s="1" t="str">
        <f aca="false">IF($E61="","",$E61&amp;"|"&amp;T61)</f>
        <v>CLÁSICAS|26</v>
      </c>
    </row>
    <row r="62" customFormat="false" ht="15" hidden="false" customHeight="false" outlineLevel="0" collapsed="false">
      <c r="A62" s="21" t="s">
        <v>123</v>
      </c>
      <c r="B62" s="88" t="n">
        <v>46245</v>
      </c>
      <c r="C62" s="21" t="s">
        <v>106</v>
      </c>
      <c r="D62" s="21" t="s">
        <v>42</v>
      </c>
      <c r="E62" s="21" t="s">
        <v>62</v>
      </c>
      <c r="F62" s="70" t="n">
        <v>0.416666666666667</v>
      </c>
      <c r="G62" s="68" t="n">
        <v>855</v>
      </c>
      <c r="H62" s="68" t="n">
        <v>995</v>
      </c>
      <c r="I62" s="68" t="n">
        <v>965.15</v>
      </c>
      <c r="J62" s="68" t="n">
        <v>1024.85</v>
      </c>
      <c r="L62" s="21" t="s">
        <v>47</v>
      </c>
      <c r="M62" s="21" t="s">
        <v>47</v>
      </c>
      <c r="N62" s="21" t="s">
        <v>47</v>
      </c>
      <c r="O62" s="21" t="s">
        <v>47</v>
      </c>
      <c r="P62" s="21" t="s">
        <v>47</v>
      </c>
      <c r="T62" s="3" t="n">
        <f aca="false">IF($E62="","",COUNTIF($E$2:$E62,$E62))</f>
        <v>26</v>
      </c>
      <c r="U62" s="1" t="str">
        <f aca="false">IF($E62="","",$E62&amp;"|"&amp;T62)</f>
        <v>CERVICALES|26</v>
      </c>
    </row>
    <row r="63" customFormat="false" ht="15" hidden="false" customHeight="false" outlineLevel="0" collapsed="false">
      <c r="A63" s="21" t="s">
        <v>124</v>
      </c>
      <c r="B63" s="88" t="n">
        <v>46245</v>
      </c>
      <c r="C63" s="21" t="s">
        <v>106</v>
      </c>
      <c r="D63" s="21" t="s">
        <v>42</v>
      </c>
      <c r="E63" s="21" t="s">
        <v>62</v>
      </c>
      <c r="F63" s="70" t="n">
        <v>0.458333333333333</v>
      </c>
      <c r="G63" s="68" t="n">
        <v>870</v>
      </c>
      <c r="H63" s="68" t="n">
        <v>995</v>
      </c>
      <c r="I63" s="68" t="n">
        <v>965.15</v>
      </c>
      <c r="J63" s="68" t="n">
        <v>1024.85</v>
      </c>
      <c r="L63" s="21" t="s">
        <v>47</v>
      </c>
      <c r="M63" s="21" t="s">
        <v>47</v>
      </c>
      <c r="N63" s="21" t="s">
        <v>47</v>
      </c>
      <c r="O63" s="21" t="s">
        <v>47</v>
      </c>
      <c r="P63" s="21" t="s">
        <v>47</v>
      </c>
      <c r="T63" s="3" t="n">
        <f aca="false">IF($E63="","",COUNTIF($E$2:$E63,$E63))</f>
        <v>27</v>
      </c>
      <c r="U63" s="1" t="str">
        <f aca="false">IF($E63="","",$E63&amp;"|"&amp;T63)</f>
        <v>CERVICALES|27</v>
      </c>
    </row>
    <row r="64" customFormat="false" ht="15" hidden="false" customHeight="false" outlineLevel="0" collapsed="false">
      <c r="A64" s="21" t="s">
        <v>125</v>
      </c>
      <c r="B64" s="88" t="n">
        <v>46245</v>
      </c>
      <c r="C64" s="21" t="s">
        <v>106</v>
      </c>
      <c r="D64" s="21" t="s">
        <v>42</v>
      </c>
      <c r="E64" s="21" t="s">
        <v>7</v>
      </c>
      <c r="F64" s="70" t="n">
        <v>0.458333333333333</v>
      </c>
      <c r="G64" s="68" t="n">
        <v>870</v>
      </c>
      <c r="H64" s="68" t="n">
        <v>1008</v>
      </c>
      <c r="I64" s="68" t="n">
        <v>977.76</v>
      </c>
      <c r="J64" s="68" t="n">
        <v>1038.24</v>
      </c>
      <c r="L64" s="21" t="s">
        <v>47</v>
      </c>
      <c r="M64" s="21" t="s">
        <v>47</v>
      </c>
      <c r="N64" s="21" t="s">
        <v>47</v>
      </c>
      <c r="O64" s="21" t="s">
        <v>47</v>
      </c>
      <c r="P64" s="21" t="s">
        <v>47</v>
      </c>
      <c r="T64" s="3" t="n">
        <f aca="false">IF($E64="","",COUNTIF($E$2:$E64,$E64))</f>
        <v>27</v>
      </c>
      <c r="U64" s="1" t="str">
        <f aca="false">IF($E64="","",$E64&amp;"|"&amp;T64)</f>
        <v>CLÁSICAS|27</v>
      </c>
    </row>
    <row r="65" customFormat="false" ht="15" hidden="false" customHeight="false" outlineLevel="0" collapsed="false">
      <c r="A65" s="21" t="s">
        <v>126</v>
      </c>
      <c r="B65" s="88" t="n">
        <v>46245</v>
      </c>
      <c r="C65" s="21" t="s">
        <v>106</v>
      </c>
      <c r="D65" s="21" t="s">
        <v>42</v>
      </c>
      <c r="E65" s="21" t="s">
        <v>62</v>
      </c>
      <c r="F65" s="70" t="n">
        <v>0.5</v>
      </c>
      <c r="G65" s="68" t="n">
        <v>870</v>
      </c>
      <c r="H65" s="68" t="n">
        <v>995</v>
      </c>
      <c r="I65" s="68" t="n">
        <v>965.15</v>
      </c>
      <c r="J65" s="68" t="n">
        <v>1024.85</v>
      </c>
      <c r="L65" s="21" t="s">
        <v>47</v>
      </c>
      <c r="M65" s="21" t="s">
        <v>47</v>
      </c>
      <c r="N65" s="21" t="s">
        <v>47</v>
      </c>
      <c r="O65" s="21" t="s">
        <v>47</v>
      </c>
      <c r="P65" s="21" t="s">
        <v>47</v>
      </c>
      <c r="T65" s="3" t="n">
        <f aca="false">IF($E65="","",COUNTIF($E$2:$E65,$E65))</f>
        <v>28</v>
      </c>
      <c r="U65" s="1" t="str">
        <f aca="false">IF($E65="","",$E65&amp;"|"&amp;T65)</f>
        <v>CERVICALES|28</v>
      </c>
    </row>
    <row r="66" customFormat="false" ht="15" hidden="false" customHeight="false" outlineLevel="0" collapsed="false">
      <c r="A66" s="21" t="s">
        <v>127</v>
      </c>
      <c r="B66" s="88" t="n">
        <v>46245</v>
      </c>
      <c r="C66" s="21" t="s">
        <v>106</v>
      </c>
      <c r="D66" s="21" t="s">
        <v>42</v>
      </c>
      <c r="E66" s="21" t="s">
        <v>7</v>
      </c>
      <c r="F66" s="70" t="n">
        <v>0.5</v>
      </c>
      <c r="G66" s="68" t="n">
        <v>870</v>
      </c>
      <c r="H66" s="68" t="n">
        <v>1008</v>
      </c>
      <c r="I66" s="68" t="n">
        <v>977.76</v>
      </c>
      <c r="J66" s="68" t="n">
        <v>1038.24</v>
      </c>
      <c r="L66" s="21" t="s">
        <v>47</v>
      </c>
      <c r="M66" s="21" t="s">
        <v>47</v>
      </c>
      <c r="N66" s="21" t="s">
        <v>47</v>
      </c>
      <c r="O66" s="21" t="s">
        <v>47</v>
      </c>
      <c r="P66" s="21" t="s">
        <v>47</v>
      </c>
      <c r="T66" s="3" t="n">
        <f aca="false">IF($E66="","",COUNTIF($E$2:$E66,$E66))</f>
        <v>28</v>
      </c>
      <c r="U66" s="1" t="str">
        <f aca="false">IF($E66="","",$E66&amp;"|"&amp;T66)</f>
        <v>CLÁSICAS|28</v>
      </c>
    </row>
    <row r="67" customFormat="false" ht="15" hidden="false" customHeight="false" outlineLevel="0" collapsed="false">
      <c r="A67" s="21" t="s">
        <v>128</v>
      </c>
      <c r="B67" s="88" t="n">
        <v>46245</v>
      </c>
      <c r="C67" s="21" t="s">
        <v>106</v>
      </c>
      <c r="D67" s="21" t="s">
        <v>42</v>
      </c>
      <c r="E67" s="21" t="s">
        <v>7</v>
      </c>
      <c r="F67" s="70" t="n">
        <v>0.541666666666667</v>
      </c>
      <c r="G67" s="68" t="n">
        <v>870</v>
      </c>
      <c r="H67" s="68" t="n">
        <v>1008</v>
      </c>
      <c r="I67" s="68" t="n">
        <v>977.76</v>
      </c>
      <c r="J67" s="68" t="n">
        <v>1038.24</v>
      </c>
      <c r="L67" s="21" t="s">
        <v>47</v>
      </c>
      <c r="M67" s="21" t="s">
        <v>47</v>
      </c>
      <c r="N67" s="21" t="s">
        <v>47</v>
      </c>
      <c r="O67" s="21" t="s">
        <v>47</v>
      </c>
      <c r="P67" s="21" t="s">
        <v>47</v>
      </c>
      <c r="T67" s="3" t="n">
        <f aca="false">IF($E67="","",COUNTIF($E$2:$E67,$E67))</f>
        <v>29</v>
      </c>
      <c r="U67" s="1" t="str">
        <f aca="false">IF($E67="","",$E67&amp;"|"&amp;T67)</f>
        <v>CLÁSICAS|29</v>
      </c>
    </row>
    <row r="68" customFormat="false" ht="15" hidden="false" customHeight="false" outlineLevel="0" collapsed="false">
      <c r="A68" s="21" t="s">
        <v>129</v>
      </c>
      <c r="B68" s="88" t="n">
        <v>46245</v>
      </c>
      <c r="C68" s="21" t="s">
        <v>106</v>
      </c>
      <c r="D68" s="21" t="s">
        <v>42</v>
      </c>
      <c r="E68" s="21" t="s">
        <v>62</v>
      </c>
      <c r="F68" s="70" t="n">
        <v>0.541666666666667</v>
      </c>
      <c r="G68" s="68" t="n">
        <v>870</v>
      </c>
      <c r="H68" s="68" t="n">
        <v>995</v>
      </c>
      <c r="I68" s="68" t="n">
        <v>965.15</v>
      </c>
      <c r="J68" s="68" t="n">
        <v>1024.85</v>
      </c>
      <c r="L68" s="21" t="s">
        <v>47</v>
      </c>
      <c r="M68" s="21" t="s">
        <v>47</v>
      </c>
      <c r="N68" s="21" t="s">
        <v>47</v>
      </c>
      <c r="O68" s="21" t="s">
        <v>47</v>
      </c>
      <c r="P68" s="21" t="s">
        <v>47</v>
      </c>
      <c r="T68" s="3" t="n">
        <f aca="false">IF($E68="","",COUNTIF($E$2:$E68,$E68))</f>
        <v>29</v>
      </c>
      <c r="U68" s="1" t="str">
        <f aca="false">IF($E68="","",$E68&amp;"|"&amp;T68)</f>
        <v>CERVICALES|29</v>
      </c>
    </row>
    <row r="69" customFormat="false" ht="15" hidden="false" customHeight="false" outlineLevel="0" collapsed="false">
      <c r="A69" s="21" t="s">
        <v>130</v>
      </c>
      <c r="B69" s="88" t="n">
        <v>46246</v>
      </c>
      <c r="C69" s="21" t="s">
        <v>60</v>
      </c>
      <c r="D69" s="21" t="s">
        <v>42</v>
      </c>
      <c r="E69" s="21" t="s">
        <v>62</v>
      </c>
      <c r="F69" s="70" t="n">
        <v>0.25</v>
      </c>
      <c r="G69" s="68" t="n">
        <v>890</v>
      </c>
      <c r="H69" s="68" t="n">
        <v>995</v>
      </c>
      <c r="I69" s="68" t="n">
        <v>965.15</v>
      </c>
      <c r="J69" s="68" t="n">
        <v>1024.85</v>
      </c>
      <c r="L69" s="21" t="s">
        <v>47</v>
      </c>
      <c r="M69" s="21" t="s">
        <v>47</v>
      </c>
      <c r="N69" s="21" t="s">
        <v>47</v>
      </c>
      <c r="O69" s="21" t="s">
        <v>47</v>
      </c>
      <c r="P69" s="21" t="s">
        <v>47</v>
      </c>
      <c r="T69" s="3" t="n">
        <f aca="false">IF($E69="","",COUNTIF($E$2:$E69,$E69))</f>
        <v>30</v>
      </c>
      <c r="U69" s="1" t="str">
        <f aca="false">IF($E69="","",$E69&amp;"|"&amp;T69)</f>
        <v>CERVICALES|30</v>
      </c>
    </row>
    <row r="70" customFormat="false" ht="15" hidden="false" customHeight="false" outlineLevel="0" collapsed="false">
      <c r="A70" s="21" t="s">
        <v>131</v>
      </c>
      <c r="B70" s="88" t="n">
        <v>46246</v>
      </c>
      <c r="C70" s="21" t="s">
        <v>60</v>
      </c>
      <c r="D70" s="21" t="s">
        <v>42</v>
      </c>
      <c r="E70" s="21" t="s">
        <v>7</v>
      </c>
      <c r="F70" s="70" t="n">
        <v>0.25</v>
      </c>
      <c r="G70" s="68" t="n">
        <v>900</v>
      </c>
      <c r="H70" s="68" t="n">
        <v>1008</v>
      </c>
      <c r="I70" s="68" t="n">
        <v>977.76</v>
      </c>
      <c r="J70" s="68" t="n">
        <v>1038.24</v>
      </c>
      <c r="L70" s="21" t="s">
        <v>47</v>
      </c>
      <c r="M70" s="21" t="s">
        <v>47</v>
      </c>
      <c r="N70" s="21" t="s">
        <v>47</v>
      </c>
      <c r="O70" s="21" t="s">
        <v>47</v>
      </c>
      <c r="P70" s="21" t="s">
        <v>47</v>
      </c>
      <c r="T70" s="3" t="n">
        <f aca="false">IF($E70="","",COUNTIF($E$2:$E70,$E70))</f>
        <v>30</v>
      </c>
      <c r="U70" s="1" t="str">
        <f aca="false">IF($E70="","",$E70&amp;"|"&amp;T70)</f>
        <v>CLÁSICAS|30</v>
      </c>
    </row>
    <row r="71" customFormat="false" ht="15" hidden="false" customHeight="false" outlineLevel="0" collapsed="false">
      <c r="A71" s="21" t="s">
        <v>132</v>
      </c>
      <c r="B71" s="88" t="n">
        <v>46246</v>
      </c>
      <c r="C71" s="21" t="s">
        <v>60</v>
      </c>
      <c r="D71" s="21" t="s">
        <v>42</v>
      </c>
      <c r="E71" s="21" t="s">
        <v>64</v>
      </c>
      <c r="F71" s="70" t="n">
        <v>0.25</v>
      </c>
      <c r="G71" s="68" t="n">
        <v>900</v>
      </c>
      <c r="H71" s="68" t="n">
        <v>985</v>
      </c>
      <c r="I71" s="68" t="n">
        <v>955.45</v>
      </c>
      <c r="J71" s="68" t="n">
        <v>1014.55</v>
      </c>
      <c r="L71" s="21" t="s">
        <v>47</v>
      </c>
      <c r="M71" s="21" t="s">
        <v>47</v>
      </c>
      <c r="N71" s="21" t="s">
        <v>47</v>
      </c>
      <c r="O71" s="21" t="s">
        <v>47</v>
      </c>
      <c r="P71" s="21" t="s">
        <v>47</v>
      </c>
      <c r="T71" s="3" t="n">
        <f aca="false">IF($E71="","",COUNTIF($E$2:$E71,$E71))</f>
        <v>10</v>
      </c>
      <c r="U71" s="1" t="str">
        <f aca="false">IF($E71="","",$E71&amp;"|"&amp;T71)</f>
        <v>THERMOSENSE|10</v>
      </c>
    </row>
    <row r="72" customFormat="false" ht="15" hidden="false" customHeight="false" outlineLevel="0" collapsed="false">
      <c r="A72" s="21" t="s">
        <v>133</v>
      </c>
      <c r="B72" s="88" t="n">
        <v>46246</v>
      </c>
      <c r="C72" s="21" t="s">
        <v>60</v>
      </c>
      <c r="D72" s="21" t="s">
        <v>42</v>
      </c>
      <c r="E72" s="21" t="s">
        <v>64</v>
      </c>
      <c r="F72" s="70" t="n">
        <v>0.291666666666667</v>
      </c>
      <c r="G72" s="68" t="n">
        <v>900</v>
      </c>
      <c r="H72" s="68" t="n">
        <v>985</v>
      </c>
      <c r="I72" s="68" t="n">
        <v>955.45</v>
      </c>
      <c r="J72" s="68" t="n">
        <v>1014.55</v>
      </c>
      <c r="L72" s="21" t="s">
        <v>47</v>
      </c>
      <c r="M72" s="21" t="s">
        <v>47</v>
      </c>
      <c r="N72" s="21" t="s">
        <v>47</v>
      </c>
      <c r="O72" s="21" t="s">
        <v>47</v>
      </c>
      <c r="P72" s="21" t="s">
        <v>47</v>
      </c>
      <c r="T72" s="3" t="n">
        <f aca="false">IF($E72="","",COUNTIF($E$2:$E72,$E72))</f>
        <v>11</v>
      </c>
      <c r="U72" s="1" t="str">
        <f aca="false">IF($E72="","",$E72&amp;"|"&amp;T72)</f>
        <v>THERMOSENSE|11</v>
      </c>
    </row>
    <row r="73" customFormat="false" ht="15" hidden="false" customHeight="false" outlineLevel="0" collapsed="false">
      <c r="A73" s="21" t="s">
        <v>134</v>
      </c>
      <c r="B73" s="88" t="n">
        <v>46246</v>
      </c>
      <c r="C73" s="21" t="s">
        <v>60</v>
      </c>
      <c r="D73" s="21" t="s">
        <v>42</v>
      </c>
      <c r="E73" s="21" t="s">
        <v>7</v>
      </c>
      <c r="F73" s="70" t="n">
        <v>0.291666666666667</v>
      </c>
      <c r="G73" s="68" t="n">
        <v>900</v>
      </c>
      <c r="H73" s="68" t="n">
        <v>1008</v>
      </c>
      <c r="I73" s="68" t="n">
        <v>977.76</v>
      </c>
      <c r="J73" s="68" t="n">
        <v>1038.24</v>
      </c>
      <c r="L73" s="21" t="s">
        <v>47</v>
      </c>
      <c r="M73" s="21" t="s">
        <v>47</v>
      </c>
      <c r="N73" s="21" t="s">
        <v>47</v>
      </c>
      <c r="O73" s="21" t="s">
        <v>47</v>
      </c>
      <c r="P73" s="21" t="s">
        <v>47</v>
      </c>
      <c r="T73" s="3" t="n">
        <f aca="false">IF($E73="","",COUNTIF($E$2:$E73,$E73))</f>
        <v>31</v>
      </c>
      <c r="U73" s="1" t="str">
        <f aca="false">IF($E73="","",$E73&amp;"|"&amp;T73)</f>
        <v>CLÁSICAS|31</v>
      </c>
    </row>
    <row r="74" customFormat="false" ht="15" hidden="false" customHeight="false" outlineLevel="0" collapsed="false">
      <c r="A74" s="21" t="s">
        <v>135</v>
      </c>
      <c r="B74" s="88" t="n">
        <v>46246</v>
      </c>
      <c r="C74" s="21" t="s">
        <v>60</v>
      </c>
      <c r="D74" s="21" t="s">
        <v>42</v>
      </c>
      <c r="E74" s="21" t="s">
        <v>62</v>
      </c>
      <c r="F74" s="70" t="n">
        <v>0.291666666666667</v>
      </c>
      <c r="G74" s="68" t="n">
        <v>880</v>
      </c>
      <c r="H74" s="68" t="n">
        <v>995</v>
      </c>
      <c r="I74" s="68" t="n">
        <v>965.15</v>
      </c>
      <c r="J74" s="68" t="n">
        <v>1024.85</v>
      </c>
      <c r="L74" s="21" t="s">
        <v>47</v>
      </c>
      <c r="M74" s="21" t="s">
        <v>47</v>
      </c>
      <c r="N74" s="21" t="s">
        <v>47</v>
      </c>
      <c r="O74" s="21" t="s">
        <v>47</v>
      </c>
      <c r="P74" s="21" t="s">
        <v>47</v>
      </c>
      <c r="T74" s="3" t="n">
        <f aca="false">IF($E74="","",COUNTIF($E$2:$E74,$E74))</f>
        <v>31</v>
      </c>
      <c r="U74" s="1" t="str">
        <f aca="false">IF($E74="","",$E74&amp;"|"&amp;T74)</f>
        <v>CERVICALES|31</v>
      </c>
    </row>
    <row r="75" customFormat="false" ht="15" hidden="false" customHeight="false" outlineLevel="0" collapsed="false">
      <c r="A75" s="21" t="s">
        <v>136</v>
      </c>
      <c r="B75" s="88" t="n">
        <v>46246</v>
      </c>
      <c r="C75" s="21" t="s">
        <v>60</v>
      </c>
      <c r="D75" s="21" t="s">
        <v>42</v>
      </c>
      <c r="E75" s="21" t="s">
        <v>62</v>
      </c>
      <c r="F75" s="70" t="n">
        <v>0.333333333333333</v>
      </c>
      <c r="G75" s="68" t="n">
        <v>880</v>
      </c>
      <c r="H75" s="68" t="n">
        <v>995</v>
      </c>
      <c r="I75" s="68" t="n">
        <v>965.15</v>
      </c>
      <c r="J75" s="68" t="n">
        <v>1024.85</v>
      </c>
      <c r="L75" s="21" t="s">
        <v>47</v>
      </c>
      <c r="M75" s="21" t="s">
        <v>47</v>
      </c>
      <c r="N75" s="21" t="s">
        <v>47</v>
      </c>
      <c r="O75" s="21" t="s">
        <v>47</v>
      </c>
      <c r="P75" s="21" t="s">
        <v>47</v>
      </c>
      <c r="T75" s="3" t="n">
        <f aca="false">IF($E75="","",COUNTIF($E$2:$E75,$E75))</f>
        <v>32</v>
      </c>
      <c r="U75" s="1" t="str">
        <f aca="false">IF($E75="","",$E75&amp;"|"&amp;T75)</f>
        <v>CERVICALES|32</v>
      </c>
    </row>
    <row r="76" customFormat="false" ht="15" hidden="false" customHeight="false" outlineLevel="0" collapsed="false">
      <c r="A76" s="21" t="s">
        <v>137</v>
      </c>
      <c r="B76" s="88" t="n">
        <v>46246</v>
      </c>
      <c r="C76" s="21" t="s">
        <v>60</v>
      </c>
      <c r="D76" s="21" t="s">
        <v>42</v>
      </c>
      <c r="E76" s="21" t="s">
        <v>7</v>
      </c>
      <c r="F76" s="70" t="n">
        <v>0.333333333333333</v>
      </c>
      <c r="G76" s="68" t="n">
        <v>900</v>
      </c>
      <c r="H76" s="68" t="n">
        <v>1008</v>
      </c>
      <c r="I76" s="68" t="n">
        <v>977.76</v>
      </c>
      <c r="J76" s="68" t="n">
        <v>1038.24</v>
      </c>
      <c r="L76" s="21" t="s">
        <v>47</v>
      </c>
      <c r="M76" s="21" t="s">
        <v>47</v>
      </c>
      <c r="N76" s="21" t="s">
        <v>47</v>
      </c>
      <c r="O76" s="21" t="s">
        <v>47</v>
      </c>
      <c r="P76" s="21" t="s">
        <v>47</v>
      </c>
      <c r="T76" s="3" t="n">
        <f aca="false">IF($E76="","",COUNTIF($E$2:$E76,$E76))</f>
        <v>32</v>
      </c>
      <c r="U76" s="1" t="str">
        <f aca="false">IF($E76="","",$E76&amp;"|"&amp;T76)</f>
        <v>CLÁSICAS|32</v>
      </c>
    </row>
    <row r="77" customFormat="false" ht="15" hidden="false" customHeight="false" outlineLevel="0" collapsed="false">
      <c r="A77" s="21" t="s">
        <v>138</v>
      </c>
      <c r="B77" s="88" t="n">
        <v>46246</v>
      </c>
      <c r="C77" s="21" t="s">
        <v>60</v>
      </c>
      <c r="D77" s="21" t="s">
        <v>42</v>
      </c>
      <c r="E77" s="21" t="s">
        <v>64</v>
      </c>
      <c r="F77" s="70" t="n">
        <v>0.333333333333333</v>
      </c>
      <c r="G77" s="68" t="n">
        <v>900</v>
      </c>
      <c r="H77" s="68" t="n">
        <v>985</v>
      </c>
      <c r="I77" s="68" t="n">
        <v>955.45</v>
      </c>
      <c r="J77" s="68" t="n">
        <v>1014.55</v>
      </c>
      <c r="L77" s="21" t="s">
        <v>47</v>
      </c>
      <c r="M77" s="21" t="s">
        <v>47</v>
      </c>
      <c r="N77" s="21" t="s">
        <v>47</v>
      </c>
      <c r="O77" s="21" t="s">
        <v>47</v>
      </c>
      <c r="P77" s="21" t="s">
        <v>47</v>
      </c>
      <c r="T77" s="3" t="n">
        <f aca="false">IF($E77="","",COUNTIF($E$2:$E77,$E77))</f>
        <v>12</v>
      </c>
      <c r="U77" s="1" t="str">
        <f aca="false">IF($E77="","",$E77&amp;"|"&amp;T77)</f>
        <v>THERMOSENSE|12</v>
      </c>
    </row>
    <row r="78" customFormat="false" ht="15" hidden="false" customHeight="false" outlineLevel="0" collapsed="false">
      <c r="A78" s="21" t="s">
        <v>139</v>
      </c>
      <c r="B78" s="88" t="n">
        <v>46246</v>
      </c>
      <c r="C78" s="21" t="s">
        <v>60</v>
      </c>
      <c r="D78" s="21" t="s">
        <v>42</v>
      </c>
      <c r="E78" s="21" t="s">
        <v>64</v>
      </c>
      <c r="F78" s="70" t="n">
        <v>0.375</v>
      </c>
      <c r="G78" s="68" t="n">
        <v>900</v>
      </c>
      <c r="H78" s="68" t="n">
        <v>985</v>
      </c>
      <c r="I78" s="68" t="n">
        <v>955.45</v>
      </c>
      <c r="J78" s="68" t="n">
        <v>1014.55</v>
      </c>
      <c r="L78" s="21" t="s">
        <v>47</v>
      </c>
      <c r="M78" s="21" t="s">
        <v>47</v>
      </c>
      <c r="N78" s="21" t="s">
        <v>47</v>
      </c>
      <c r="O78" s="21" t="s">
        <v>47</v>
      </c>
      <c r="P78" s="21" t="s">
        <v>47</v>
      </c>
      <c r="T78" s="3" t="n">
        <f aca="false">IF($E78="","",COUNTIF($E$2:$E78,$E78))</f>
        <v>13</v>
      </c>
      <c r="U78" s="1" t="str">
        <f aca="false">IF($E78="","",$E78&amp;"|"&amp;T78)</f>
        <v>THERMOSENSE|13</v>
      </c>
    </row>
    <row r="79" customFormat="false" ht="15" hidden="false" customHeight="false" outlineLevel="0" collapsed="false">
      <c r="A79" s="21" t="s">
        <v>140</v>
      </c>
      <c r="B79" s="88" t="n">
        <v>46246</v>
      </c>
      <c r="C79" s="21" t="s">
        <v>60</v>
      </c>
      <c r="D79" s="21" t="s">
        <v>42</v>
      </c>
      <c r="E79" s="21" t="s">
        <v>7</v>
      </c>
      <c r="F79" s="70" t="n">
        <v>0.375</v>
      </c>
      <c r="G79" s="68" t="n">
        <v>900</v>
      </c>
      <c r="H79" s="68" t="n">
        <v>1008</v>
      </c>
      <c r="I79" s="68" t="n">
        <v>977.76</v>
      </c>
      <c r="J79" s="68" t="n">
        <v>1038.24</v>
      </c>
      <c r="L79" s="21" t="s">
        <v>47</v>
      </c>
      <c r="M79" s="21" t="s">
        <v>47</v>
      </c>
      <c r="N79" s="21" t="s">
        <v>47</v>
      </c>
      <c r="O79" s="21" t="s">
        <v>47</v>
      </c>
      <c r="P79" s="21" t="s">
        <v>47</v>
      </c>
      <c r="T79" s="3" t="n">
        <f aca="false">IF($E79="","",COUNTIF($E$2:$E79,$E79))</f>
        <v>33</v>
      </c>
      <c r="U79" s="1" t="str">
        <f aca="false">IF($E79="","",$E79&amp;"|"&amp;T79)</f>
        <v>CLÁSICAS|33</v>
      </c>
    </row>
    <row r="80" customFormat="false" ht="15" hidden="false" customHeight="false" outlineLevel="0" collapsed="false">
      <c r="A80" s="21" t="s">
        <v>141</v>
      </c>
      <c r="B80" s="88" t="n">
        <v>46246</v>
      </c>
      <c r="C80" s="21" t="s">
        <v>60</v>
      </c>
      <c r="D80" s="21" t="s">
        <v>42</v>
      </c>
      <c r="E80" s="21" t="s">
        <v>62</v>
      </c>
      <c r="F80" s="70" t="n">
        <v>0.375</v>
      </c>
      <c r="G80" s="68" t="n">
        <v>885</v>
      </c>
      <c r="H80" s="68" t="n">
        <v>995</v>
      </c>
      <c r="I80" s="68" t="n">
        <v>965.15</v>
      </c>
      <c r="J80" s="68" t="n">
        <v>1024.85</v>
      </c>
      <c r="L80" s="21" t="s">
        <v>47</v>
      </c>
      <c r="M80" s="21" t="s">
        <v>47</v>
      </c>
      <c r="N80" s="21" t="s">
        <v>47</v>
      </c>
      <c r="O80" s="21" t="s">
        <v>47</v>
      </c>
      <c r="P80" s="21" t="s">
        <v>47</v>
      </c>
      <c r="T80" s="3" t="n">
        <f aca="false">IF($E80="","",COUNTIF($E$2:$E80,$E80))</f>
        <v>33</v>
      </c>
      <c r="U80" s="1" t="str">
        <f aca="false">IF($E80="","",$E80&amp;"|"&amp;T80)</f>
        <v>CERVICALES|33</v>
      </c>
    </row>
    <row r="81" customFormat="false" ht="15" hidden="false" customHeight="false" outlineLevel="0" collapsed="false">
      <c r="A81" s="21" t="s">
        <v>142</v>
      </c>
      <c r="B81" s="88" t="n">
        <v>46246</v>
      </c>
      <c r="C81" s="21" t="s">
        <v>106</v>
      </c>
      <c r="D81" s="21" t="s">
        <v>42</v>
      </c>
      <c r="E81" s="21" t="s">
        <v>62</v>
      </c>
      <c r="F81" s="70" t="n">
        <v>0.416666666666667</v>
      </c>
      <c r="G81" s="68" t="n">
        <v>885</v>
      </c>
      <c r="H81" s="68" t="n">
        <v>995</v>
      </c>
      <c r="I81" s="68" t="n">
        <v>965.15</v>
      </c>
      <c r="J81" s="68" t="n">
        <v>1024.85</v>
      </c>
      <c r="L81" s="21" t="s">
        <v>47</v>
      </c>
      <c r="M81" s="21" t="s">
        <v>47</v>
      </c>
      <c r="N81" s="21" t="s">
        <v>47</v>
      </c>
      <c r="O81" s="21" t="s">
        <v>47</v>
      </c>
      <c r="P81" s="21" t="s">
        <v>47</v>
      </c>
      <c r="T81" s="3" t="n">
        <f aca="false">IF($E81="","",COUNTIF($E$2:$E81,$E81))</f>
        <v>34</v>
      </c>
      <c r="U81" s="1" t="str">
        <f aca="false">IF($E81="","",$E81&amp;"|"&amp;T81)</f>
        <v>CERVICALES|34</v>
      </c>
    </row>
    <row r="82" customFormat="false" ht="15" hidden="false" customHeight="false" outlineLevel="0" collapsed="false">
      <c r="A82" s="21" t="s">
        <v>143</v>
      </c>
      <c r="B82" s="88" t="n">
        <v>46246</v>
      </c>
      <c r="C82" s="21" t="s">
        <v>106</v>
      </c>
      <c r="D82" s="21" t="s">
        <v>42</v>
      </c>
      <c r="E82" s="21" t="s">
        <v>7</v>
      </c>
      <c r="F82" s="70" t="n">
        <v>0.416666666666667</v>
      </c>
      <c r="G82" s="68" t="n">
        <v>880</v>
      </c>
      <c r="H82" s="68" t="n">
        <v>1008</v>
      </c>
      <c r="I82" s="68" t="n">
        <v>977.76</v>
      </c>
      <c r="J82" s="68" t="n">
        <v>1038.24</v>
      </c>
      <c r="L82" s="21" t="s">
        <v>47</v>
      </c>
      <c r="M82" s="21" t="s">
        <v>47</v>
      </c>
      <c r="N82" s="21" t="s">
        <v>47</v>
      </c>
      <c r="O82" s="21" t="s">
        <v>47</v>
      </c>
      <c r="P82" s="21" t="s">
        <v>47</v>
      </c>
      <c r="T82" s="3" t="n">
        <f aca="false">IF($E82="","",COUNTIF($E$2:$E82,$E82))</f>
        <v>34</v>
      </c>
      <c r="U82" s="1" t="str">
        <f aca="false">IF($E82="","",$E82&amp;"|"&amp;T82)</f>
        <v>CLÁSICAS|34</v>
      </c>
    </row>
    <row r="83" customFormat="false" ht="15" hidden="false" customHeight="false" outlineLevel="0" collapsed="false">
      <c r="A83" s="21" t="s">
        <v>144</v>
      </c>
      <c r="B83" s="88" t="n">
        <v>46246</v>
      </c>
      <c r="C83" s="21" t="s">
        <v>106</v>
      </c>
      <c r="D83" s="21" t="s">
        <v>42</v>
      </c>
      <c r="E83" s="21" t="s">
        <v>64</v>
      </c>
      <c r="F83" s="70" t="n">
        <v>0.416666666666667</v>
      </c>
      <c r="G83" s="68" t="n">
        <v>880</v>
      </c>
      <c r="H83" s="68" t="n">
        <v>985</v>
      </c>
      <c r="I83" s="68" t="n">
        <v>955.45</v>
      </c>
      <c r="J83" s="68" t="n">
        <v>1014.55</v>
      </c>
      <c r="L83" s="21" t="s">
        <v>47</v>
      </c>
      <c r="M83" s="21" t="s">
        <v>47</v>
      </c>
      <c r="N83" s="21" t="s">
        <v>47</v>
      </c>
      <c r="O83" s="21" t="s">
        <v>47</v>
      </c>
      <c r="P83" s="21" t="s">
        <v>47</v>
      </c>
      <c r="T83" s="3" t="n">
        <f aca="false">IF($E83="","",COUNTIF($E$2:$E83,$E83))</f>
        <v>14</v>
      </c>
      <c r="U83" s="1" t="str">
        <f aca="false">IF($E83="","",$E83&amp;"|"&amp;T83)</f>
        <v>THERMOSENSE|14</v>
      </c>
    </row>
    <row r="84" customFormat="false" ht="15" hidden="false" customHeight="false" outlineLevel="0" collapsed="false">
      <c r="A84" s="21" t="s">
        <v>145</v>
      </c>
      <c r="B84" s="88" t="n">
        <v>46246</v>
      </c>
      <c r="C84" s="21" t="s">
        <v>106</v>
      </c>
      <c r="D84" s="21" t="s">
        <v>42</v>
      </c>
      <c r="E84" s="21" t="s">
        <v>64</v>
      </c>
      <c r="F84" s="70" t="n">
        <v>0.458333333333333</v>
      </c>
      <c r="G84" s="68" t="n">
        <v>880</v>
      </c>
      <c r="H84" s="68" t="n">
        <v>985</v>
      </c>
      <c r="I84" s="68" t="n">
        <v>955.45</v>
      </c>
      <c r="J84" s="68" t="n">
        <v>1014.55</v>
      </c>
      <c r="L84" s="21" t="s">
        <v>47</v>
      </c>
      <c r="M84" s="21" t="s">
        <v>47</v>
      </c>
      <c r="N84" s="21" t="s">
        <v>47</v>
      </c>
      <c r="O84" s="21" t="s">
        <v>47</v>
      </c>
      <c r="P84" s="21" t="s">
        <v>47</v>
      </c>
      <c r="T84" s="3" t="n">
        <f aca="false">IF($E84="","",COUNTIF($E$2:$E84,$E84))</f>
        <v>15</v>
      </c>
      <c r="U84" s="1" t="str">
        <f aca="false">IF($E84="","",$E84&amp;"|"&amp;T84)</f>
        <v>THERMOSENSE|15</v>
      </c>
    </row>
    <row r="85" customFormat="false" ht="15" hidden="false" customHeight="false" outlineLevel="0" collapsed="false">
      <c r="A85" s="21" t="s">
        <v>146</v>
      </c>
      <c r="B85" s="88" t="n">
        <v>46246</v>
      </c>
      <c r="C85" s="21" t="s">
        <v>106</v>
      </c>
      <c r="D85" s="21" t="s">
        <v>42</v>
      </c>
      <c r="E85" s="21" t="s">
        <v>62</v>
      </c>
      <c r="F85" s="70" t="n">
        <v>0.458333333333333</v>
      </c>
      <c r="G85" s="68" t="n">
        <v>885</v>
      </c>
      <c r="H85" s="68" t="n">
        <v>995</v>
      </c>
      <c r="I85" s="68" t="n">
        <v>965.15</v>
      </c>
      <c r="J85" s="68" t="n">
        <v>1024.85</v>
      </c>
      <c r="L85" s="21" t="s">
        <v>47</v>
      </c>
      <c r="M85" s="21" t="s">
        <v>47</v>
      </c>
      <c r="N85" s="21" t="s">
        <v>47</v>
      </c>
      <c r="O85" s="21" t="s">
        <v>47</v>
      </c>
      <c r="P85" s="21" t="s">
        <v>47</v>
      </c>
      <c r="T85" s="3" t="n">
        <f aca="false">IF($E85="","",COUNTIF($E$2:$E85,$E85))</f>
        <v>35</v>
      </c>
      <c r="U85" s="1" t="str">
        <f aca="false">IF($E85="","",$E85&amp;"|"&amp;T85)</f>
        <v>CERVICALES|35</v>
      </c>
    </row>
    <row r="86" customFormat="false" ht="15" hidden="false" customHeight="false" outlineLevel="0" collapsed="false">
      <c r="A86" s="21" t="s">
        <v>147</v>
      </c>
      <c r="B86" s="88" t="n">
        <v>46246</v>
      </c>
      <c r="C86" s="21" t="s">
        <v>106</v>
      </c>
      <c r="D86" s="21" t="s">
        <v>42</v>
      </c>
      <c r="E86" s="21" t="s">
        <v>7</v>
      </c>
      <c r="F86" s="70" t="n">
        <v>0.458333333333333</v>
      </c>
      <c r="G86" s="68" t="n">
        <v>885</v>
      </c>
      <c r="H86" s="68" t="n">
        <v>1008</v>
      </c>
      <c r="I86" s="68" t="n">
        <v>977.76</v>
      </c>
      <c r="J86" s="68" t="n">
        <v>1038.24</v>
      </c>
      <c r="L86" s="21" t="s">
        <v>47</v>
      </c>
      <c r="M86" s="21" t="s">
        <v>47</v>
      </c>
      <c r="N86" s="21" t="s">
        <v>47</v>
      </c>
      <c r="O86" s="21" t="s">
        <v>47</v>
      </c>
      <c r="P86" s="21" t="s">
        <v>47</v>
      </c>
      <c r="T86" s="3" t="n">
        <f aca="false">IF($E86="","",COUNTIF($E$2:$E86,$E86))</f>
        <v>35</v>
      </c>
      <c r="U86" s="1" t="str">
        <f aca="false">IF($E86="","",$E86&amp;"|"&amp;T86)</f>
        <v>CLÁSICAS|35</v>
      </c>
    </row>
    <row r="87" customFormat="false" ht="15" hidden="false" customHeight="false" outlineLevel="0" collapsed="false">
      <c r="A87" s="21" t="s">
        <v>148</v>
      </c>
      <c r="B87" s="88" t="n">
        <v>46246</v>
      </c>
      <c r="C87" s="21" t="s">
        <v>106</v>
      </c>
      <c r="D87" s="21" t="s">
        <v>42</v>
      </c>
      <c r="E87" s="21" t="s">
        <v>7</v>
      </c>
      <c r="F87" s="70" t="n">
        <v>0.5</v>
      </c>
      <c r="G87" s="68" t="n">
        <v>890</v>
      </c>
      <c r="H87" s="68" t="n">
        <v>1008</v>
      </c>
      <c r="I87" s="68" t="n">
        <v>977.76</v>
      </c>
      <c r="J87" s="68" t="n">
        <v>1038.24</v>
      </c>
      <c r="L87" s="21" t="s">
        <v>47</v>
      </c>
      <c r="M87" s="21" t="s">
        <v>47</v>
      </c>
      <c r="N87" s="21" t="s">
        <v>47</v>
      </c>
      <c r="O87" s="21" t="s">
        <v>47</v>
      </c>
      <c r="P87" s="21" t="s">
        <v>47</v>
      </c>
      <c r="T87" s="3" t="n">
        <f aca="false">IF($E87="","",COUNTIF($E$2:$E87,$E87))</f>
        <v>36</v>
      </c>
      <c r="U87" s="1" t="str">
        <f aca="false">IF($E87="","",$E87&amp;"|"&amp;T87)</f>
        <v>CLÁSICAS|36</v>
      </c>
    </row>
    <row r="88" customFormat="false" ht="15" hidden="false" customHeight="false" outlineLevel="0" collapsed="false">
      <c r="A88" s="21" t="s">
        <v>149</v>
      </c>
      <c r="B88" s="88" t="n">
        <v>46246</v>
      </c>
      <c r="C88" s="21" t="s">
        <v>106</v>
      </c>
      <c r="D88" s="21" t="s">
        <v>42</v>
      </c>
      <c r="E88" s="21" t="s">
        <v>62</v>
      </c>
      <c r="F88" s="70" t="n">
        <v>0.5</v>
      </c>
      <c r="G88" s="68" t="n">
        <v>890</v>
      </c>
      <c r="H88" s="68" t="n">
        <v>995</v>
      </c>
      <c r="I88" s="68" t="n">
        <v>965.15</v>
      </c>
      <c r="J88" s="68" t="n">
        <v>1024.85</v>
      </c>
      <c r="L88" s="21" t="s">
        <v>47</v>
      </c>
      <c r="M88" s="21" t="s">
        <v>47</v>
      </c>
      <c r="N88" s="21" t="s">
        <v>47</v>
      </c>
      <c r="O88" s="21" t="s">
        <v>47</v>
      </c>
      <c r="P88" s="21" t="s">
        <v>47</v>
      </c>
      <c r="T88" s="3" t="n">
        <f aca="false">IF($E88="","",COUNTIF($E$2:$E88,$E88))</f>
        <v>36</v>
      </c>
      <c r="U88" s="1" t="str">
        <f aca="false">IF($E88="","",$E88&amp;"|"&amp;T88)</f>
        <v>CERVICALES|36</v>
      </c>
    </row>
    <row r="89" customFormat="false" ht="15" hidden="false" customHeight="false" outlineLevel="0" collapsed="false">
      <c r="A89" s="21" t="s">
        <v>150</v>
      </c>
      <c r="B89" s="88" t="n">
        <v>46246</v>
      </c>
      <c r="C89" s="21" t="s">
        <v>106</v>
      </c>
      <c r="D89" s="21" t="s">
        <v>42</v>
      </c>
      <c r="E89" s="21" t="s">
        <v>64</v>
      </c>
      <c r="F89" s="70" t="n">
        <v>0.5</v>
      </c>
      <c r="G89" s="68" t="n">
        <v>890</v>
      </c>
      <c r="H89" s="68" t="n">
        <v>985</v>
      </c>
      <c r="I89" s="68" t="n">
        <v>955.45</v>
      </c>
      <c r="J89" s="68" t="n">
        <v>1014.55</v>
      </c>
      <c r="L89" s="21" t="s">
        <v>47</v>
      </c>
      <c r="M89" s="21" t="s">
        <v>47</v>
      </c>
      <c r="N89" s="21" t="s">
        <v>47</v>
      </c>
      <c r="O89" s="21" t="s">
        <v>47</v>
      </c>
      <c r="P89" s="21" t="s">
        <v>47</v>
      </c>
      <c r="T89" s="3" t="n">
        <f aca="false">IF($E89="","",COUNTIF($E$2:$E89,$E89))</f>
        <v>16</v>
      </c>
      <c r="U89" s="1" t="str">
        <f aca="false">IF($E89="","",$E89&amp;"|"&amp;T89)</f>
        <v>THERMOSENSE|16</v>
      </c>
    </row>
    <row r="90" customFormat="false" ht="15" hidden="false" customHeight="false" outlineLevel="0" collapsed="false">
      <c r="A90" s="21" t="s">
        <v>151</v>
      </c>
      <c r="B90" s="88" t="n">
        <v>46246</v>
      </c>
      <c r="C90" s="21" t="s">
        <v>106</v>
      </c>
      <c r="D90" s="21" t="s">
        <v>42</v>
      </c>
      <c r="E90" s="21" t="s">
        <v>64</v>
      </c>
      <c r="F90" s="70" t="n">
        <v>0.541666666666667</v>
      </c>
      <c r="G90" s="68" t="n">
        <v>890</v>
      </c>
      <c r="H90" s="68" t="n">
        <v>985</v>
      </c>
      <c r="I90" s="68" t="n">
        <v>955.45</v>
      </c>
      <c r="J90" s="68" t="n">
        <v>1014.55</v>
      </c>
      <c r="L90" s="21" t="s">
        <v>47</v>
      </c>
      <c r="M90" s="21" t="s">
        <v>47</v>
      </c>
      <c r="N90" s="21" t="s">
        <v>47</v>
      </c>
      <c r="O90" s="21" t="s">
        <v>47</v>
      </c>
      <c r="P90" s="21" t="s">
        <v>47</v>
      </c>
      <c r="T90" s="3" t="n">
        <f aca="false">IF($E90="","",COUNTIF($E$2:$E90,$E90))</f>
        <v>17</v>
      </c>
      <c r="U90" s="1" t="str">
        <f aca="false">IF($E90="","",$E90&amp;"|"&amp;T90)</f>
        <v>THERMOSENSE|17</v>
      </c>
    </row>
    <row r="91" customFormat="false" ht="15" hidden="false" customHeight="false" outlineLevel="0" collapsed="false">
      <c r="A91" s="21" t="s">
        <v>152</v>
      </c>
      <c r="B91" s="88" t="n">
        <v>46246</v>
      </c>
      <c r="C91" s="21" t="s">
        <v>106</v>
      </c>
      <c r="D91" s="21" t="s">
        <v>42</v>
      </c>
      <c r="E91" s="21" t="s">
        <v>62</v>
      </c>
      <c r="F91" s="70" t="n">
        <v>0.541666666666667</v>
      </c>
      <c r="G91" s="68" t="n">
        <v>890</v>
      </c>
      <c r="H91" s="68" t="n">
        <v>995</v>
      </c>
      <c r="I91" s="68" t="n">
        <v>965.15</v>
      </c>
      <c r="J91" s="68" t="n">
        <v>1024.85</v>
      </c>
      <c r="L91" s="21" t="s">
        <v>47</v>
      </c>
      <c r="M91" s="21" t="s">
        <v>47</v>
      </c>
      <c r="N91" s="21" t="s">
        <v>47</v>
      </c>
      <c r="O91" s="21" t="s">
        <v>47</v>
      </c>
      <c r="P91" s="21" t="s">
        <v>47</v>
      </c>
      <c r="T91" s="3" t="n">
        <f aca="false">IF($E91="","",COUNTIF($E$2:$E91,$E91))</f>
        <v>37</v>
      </c>
      <c r="U91" s="1" t="str">
        <f aca="false">IF($E91="","",$E91&amp;"|"&amp;T91)</f>
        <v>CERVICALES|37</v>
      </c>
    </row>
    <row r="92" customFormat="false" ht="15" hidden="false" customHeight="false" outlineLevel="0" collapsed="false">
      <c r="A92" s="21" t="s">
        <v>153</v>
      </c>
      <c r="B92" s="88" t="n">
        <v>46246</v>
      </c>
      <c r="C92" s="21" t="s">
        <v>106</v>
      </c>
      <c r="D92" s="21" t="s">
        <v>42</v>
      </c>
      <c r="E92" s="21" t="s">
        <v>7</v>
      </c>
      <c r="F92" s="70" t="n">
        <v>0.541666666666667</v>
      </c>
      <c r="G92" s="68" t="n">
        <v>890</v>
      </c>
      <c r="H92" s="68" t="n">
        <v>1008</v>
      </c>
      <c r="I92" s="68" t="n">
        <v>977.76</v>
      </c>
      <c r="J92" s="68" t="n">
        <v>1038.24</v>
      </c>
      <c r="L92" s="21" t="s">
        <v>47</v>
      </c>
      <c r="M92" s="21" t="s">
        <v>47</v>
      </c>
      <c r="N92" s="21" t="s">
        <v>47</v>
      </c>
      <c r="O92" s="21" t="s">
        <v>47</v>
      </c>
      <c r="P92" s="21" t="s">
        <v>47</v>
      </c>
      <c r="T92" s="3" t="n">
        <f aca="false">IF($E92="","",COUNTIF($E$2:$E92,$E92))</f>
        <v>37</v>
      </c>
      <c r="U92" s="1" t="str">
        <f aca="false">IF($E92="","",$E92&amp;"|"&amp;T92)</f>
        <v>CLÁSICAS|37</v>
      </c>
    </row>
    <row r="93" customFormat="false" ht="15" hidden="false" customHeight="false" outlineLevel="0" collapsed="false">
      <c r="A93" s="21" t="s">
        <v>154</v>
      </c>
      <c r="B93" s="88" t="n">
        <v>46247</v>
      </c>
      <c r="C93" s="21" t="s">
        <v>106</v>
      </c>
      <c r="D93" s="21" t="s">
        <v>42</v>
      </c>
      <c r="E93" s="21" t="s">
        <v>7</v>
      </c>
      <c r="F93" s="70" t="n">
        <v>0.25</v>
      </c>
      <c r="G93" s="68" t="n">
        <v>890</v>
      </c>
      <c r="H93" s="68" t="n">
        <v>1008</v>
      </c>
      <c r="I93" s="68" t="n">
        <v>977.76</v>
      </c>
      <c r="J93" s="68" t="n">
        <v>1038.24</v>
      </c>
      <c r="L93" s="21" t="s">
        <v>47</v>
      </c>
      <c r="M93" s="21" t="s">
        <v>47</v>
      </c>
      <c r="N93" s="21" t="s">
        <v>47</v>
      </c>
      <c r="O93" s="21" t="s">
        <v>47</v>
      </c>
      <c r="P93" s="21" t="s">
        <v>47</v>
      </c>
      <c r="T93" s="3" t="n">
        <f aca="false">IF($E93="","",COUNTIF($E$2:$E93,$E93))</f>
        <v>38</v>
      </c>
      <c r="U93" s="1" t="str">
        <f aca="false">IF($E93="","",$E93&amp;"|"&amp;T93)</f>
        <v>CLÁSICAS|38</v>
      </c>
    </row>
    <row r="94" customFormat="false" ht="15" hidden="false" customHeight="false" outlineLevel="0" collapsed="false">
      <c r="A94" s="21" t="s">
        <v>155</v>
      </c>
      <c r="B94" s="88" t="n">
        <v>46247</v>
      </c>
      <c r="C94" s="21" t="s">
        <v>106</v>
      </c>
      <c r="D94" s="21" t="s">
        <v>42</v>
      </c>
      <c r="E94" s="21" t="s">
        <v>64</v>
      </c>
      <c r="F94" s="70" t="n">
        <v>0.25</v>
      </c>
      <c r="G94" s="68" t="n">
        <v>890</v>
      </c>
      <c r="H94" s="68" t="n">
        <v>985</v>
      </c>
      <c r="I94" s="68" t="n">
        <v>955.45</v>
      </c>
      <c r="J94" s="68" t="n">
        <v>1014.55</v>
      </c>
      <c r="L94" s="21" t="s">
        <v>47</v>
      </c>
      <c r="M94" s="21" t="s">
        <v>47</v>
      </c>
      <c r="N94" s="21" t="s">
        <v>47</v>
      </c>
      <c r="O94" s="21" t="s">
        <v>47</v>
      </c>
      <c r="P94" s="21" t="s">
        <v>47</v>
      </c>
      <c r="T94" s="3" t="n">
        <f aca="false">IF($E94="","",COUNTIF($E$2:$E94,$E94))</f>
        <v>18</v>
      </c>
      <c r="U94" s="1" t="str">
        <f aca="false">IF($E94="","",$E94&amp;"|"&amp;T94)</f>
        <v>THERMOSENSE|18</v>
      </c>
    </row>
    <row r="95" customFormat="false" ht="15" hidden="false" customHeight="false" outlineLevel="0" collapsed="false">
      <c r="A95" s="21" t="s">
        <v>156</v>
      </c>
      <c r="B95" s="88" t="n">
        <v>46247</v>
      </c>
      <c r="C95" s="21" t="s">
        <v>106</v>
      </c>
      <c r="D95" s="21" t="s">
        <v>42</v>
      </c>
      <c r="E95" s="21" t="s">
        <v>64</v>
      </c>
      <c r="F95" s="70" t="n">
        <v>0.291666666666667</v>
      </c>
      <c r="G95" s="68" t="n">
        <v>890</v>
      </c>
      <c r="H95" s="68" t="n">
        <v>985</v>
      </c>
      <c r="I95" s="68" t="n">
        <v>955.45</v>
      </c>
      <c r="J95" s="68" t="n">
        <v>1014.55</v>
      </c>
      <c r="L95" s="21" t="s">
        <v>47</v>
      </c>
      <c r="M95" s="21" t="s">
        <v>47</v>
      </c>
      <c r="N95" s="21" t="s">
        <v>47</v>
      </c>
      <c r="O95" s="21" t="s">
        <v>47</v>
      </c>
      <c r="P95" s="21" t="s">
        <v>47</v>
      </c>
      <c r="T95" s="3" t="n">
        <f aca="false">IF($E95="","",COUNTIF($E$2:$E95,$E95))</f>
        <v>19</v>
      </c>
      <c r="U95" s="1" t="str">
        <f aca="false">IF($E95="","",$E95&amp;"|"&amp;T95)</f>
        <v>THERMOSENSE|19</v>
      </c>
    </row>
    <row r="96" customFormat="false" ht="15" hidden="false" customHeight="false" outlineLevel="0" collapsed="false">
      <c r="A96" s="21" t="s">
        <v>157</v>
      </c>
      <c r="B96" s="88" t="n">
        <v>46247</v>
      </c>
      <c r="C96" s="21" t="s">
        <v>106</v>
      </c>
      <c r="D96" s="21" t="s">
        <v>42</v>
      </c>
      <c r="E96" s="21" t="s">
        <v>7</v>
      </c>
      <c r="F96" s="70" t="n">
        <v>0.291666666666667</v>
      </c>
      <c r="G96" s="68" t="n">
        <v>890</v>
      </c>
      <c r="H96" s="68" t="n">
        <v>1008</v>
      </c>
      <c r="I96" s="68" t="n">
        <v>977.76</v>
      </c>
      <c r="J96" s="68" t="n">
        <v>1038.24</v>
      </c>
      <c r="L96" s="21" t="s">
        <v>47</v>
      </c>
      <c r="M96" s="21" t="s">
        <v>47</v>
      </c>
      <c r="N96" s="21" t="s">
        <v>47</v>
      </c>
      <c r="O96" s="21" t="s">
        <v>47</v>
      </c>
      <c r="P96" s="21" t="s">
        <v>47</v>
      </c>
      <c r="T96" s="3" t="n">
        <f aca="false">IF($E96="","",COUNTIF($E$2:$E96,$E96))</f>
        <v>39</v>
      </c>
      <c r="U96" s="1" t="str">
        <f aca="false">IF($E96="","",$E96&amp;"|"&amp;T96)</f>
        <v>CLÁSICAS|39</v>
      </c>
    </row>
    <row r="97" customFormat="false" ht="15" hidden="false" customHeight="false" outlineLevel="0" collapsed="false">
      <c r="A97" s="21" t="s">
        <v>158</v>
      </c>
      <c r="B97" s="88" t="n">
        <v>46247</v>
      </c>
      <c r="C97" s="21" t="s">
        <v>106</v>
      </c>
      <c r="D97" s="21" t="s">
        <v>42</v>
      </c>
      <c r="E97" s="21" t="s">
        <v>7</v>
      </c>
      <c r="F97" s="70" t="n">
        <v>0.333333333333333</v>
      </c>
      <c r="G97" s="68" t="n">
        <v>890</v>
      </c>
      <c r="H97" s="68" t="n">
        <v>1008</v>
      </c>
      <c r="I97" s="68" t="n">
        <v>977.76</v>
      </c>
      <c r="J97" s="68" t="n">
        <v>1038.24</v>
      </c>
      <c r="L97" s="21" t="s">
        <v>47</v>
      </c>
      <c r="M97" s="21" t="s">
        <v>47</v>
      </c>
      <c r="N97" s="21" t="s">
        <v>47</v>
      </c>
      <c r="O97" s="21" t="s">
        <v>47</v>
      </c>
      <c r="P97" s="21" t="s">
        <v>47</v>
      </c>
      <c r="T97" s="3" t="n">
        <f aca="false">IF($E97="","",COUNTIF($E$2:$E97,$E97))</f>
        <v>40</v>
      </c>
      <c r="U97" s="1" t="str">
        <f aca="false">IF($E97="","",$E97&amp;"|"&amp;T97)</f>
        <v>CLÁSICAS|40</v>
      </c>
    </row>
    <row r="98" customFormat="false" ht="15" hidden="false" customHeight="false" outlineLevel="0" collapsed="false">
      <c r="A98" s="21" t="s">
        <v>159</v>
      </c>
      <c r="B98" s="88" t="n">
        <v>46247</v>
      </c>
      <c r="C98" s="21" t="s">
        <v>106</v>
      </c>
      <c r="D98" s="21" t="s">
        <v>42</v>
      </c>
      <c r="E98" s="21" t="s">
        <v>64</v>
      </c>
      <c r="F98" s="70" t="n">
        <v>0.333333333333333</v>
      </c>
      <c r="G98" s="68" t="n">
        <v>890</v>
      </c>
      <c r="H98" s="68" t="n">
        <v>985</v>
      </c>
      <c r="I98" s="68" t="n">
        <v>955.45</v>
      </c>
      <c r="J98" s="68" t="n">
        <v>1014.55</v>
      </c>
      <c r="L98" s="21" t="s">
        <v>47</v>
      </c>
      <c r="M98" s="21" t="s">
        <v>47</v>
      </c>
      <c r="N98" s="21" t="s">
        <v>47</v>
      </c>
      <c r="O98" s="21" t="s">
        <v>47</v>
      </c>
      <c r="P98" s="21" t="s">
        <v>47</v>
      </c>
      <c r="T98" s="3" t="n">
        <f aca="false">IF($E98="","",COUNTIF($E$2:$E98,$E98))</f>
        <v>20</v>
      </c>
      <c r="U98" s="1" t="str">
        <f aca="false">IF($E98="","",$E98&amp;"|"&amp;T98)</f>
        <v>THERMOSENSE|20</v>
      </c>
    </row>
    <row r="99" customFormat="false" ht="15" hidden="false" customHeight="false" outlineLevel="0" collapsed="false">
      <c r="A99" s="21" t="s">
        <v>160</v>
      </c>
      <c r="B99" s="88" t="n">
        <v>46247</v>
      </c>
      <c r="C99" s="21" t="s">
        <v>106</v>
      </c>
      <c r="D99" s="21" t="s">
        <v>42</v>
      </c>
      <c r="E99" s="21" t="s">
        <v>64</v>
      </c>
      <c r="F99" s="70" t="n">
        <v>0.375</v>
      </c>
      <c r="G99" s="68" t="n">
        <v>890</v>
      </c>
      <c r="H99" s="68" t="n">
        <v>985</v>
      </c>
      <c r="I99" s="68" t="n">
        <v>955.45</v>
      </c>
      <c r="J99" s="68" t="n">
        <v>1014.55</v>
      </c>
      <c r="L99" s="21" t="s">
        <v>47</v>
      </c>
      <c r="M99" s="21" t="s">
        <v>47</v>
      </c>
      <c r="N99" s="21" t="s">
        <v>47</v>
      </c>
      <c r="O99" s="21" t="s">
        <v>47</v>
      </c>
      <c r="P99" s="21" t="s">
        <v>47</v>
      </c>
      <c r="T99" s="3" t="n">
        <f aca="false">IF($E99="","",COUNTIF($E$2:$E99,$E99))</f>
        <v>21</v>
      </c>
      <c r="U99" s="1" t="str">
        <f aca="false">IF($E99="","",$E99&amp;"|"&amp;T99)</f>
        <v>THERMOSENSE|21</v>
      </c>
    </row>
    <row r="100" customFormat="false" ht="15" hidden="false" customHeight="false" outlineLevel="0" collapsed="false">
      <c r="A100" s="21" t="s">
        <v>161</v>
      </c>
      <c r="B100" s="88" t="n">
        <v>46247</v>
      </c>
      <c r="C100" s="21" t="s">
        <v>106</v>
      </c>
      <c r="D100" s="21" t="s">
        <v>42</v>
      </c>
      <c r="E100" s="21" t="s">
        <v>7</v>
      </c>
      <c r="F100" s="70" t="n">
        <v>0.375</v>
      </c>
      <c r="G100" s="68" t="n">
        <v>890</v>
      </c>
      <c r="H100" s="68" t="n">
        <v>1008</v>
      </c>
      <c r="I100" s="68" t="n">
        <v>977.76</v>
      </c>
      <c r="J100" s="68" t="n">
        <v>1038.24</v>
      </c>
      <c r="L100" s="21" t="s">
        <v>47</v>
      </c>
      <c r="M100" s="21" t="s">
        <v>47</v>
      </c>
      <c r="N100" s="21" t="s">
        <v>47</v>
      </c>
      <c r="O100" s="21" t="s">
        <v>47</v>
      </c>
      <c r="P100" s="21" t="s">
        <v>47</v>
      </c>
      <c r="T100" s="3" t="n">
        <f aca="false">IF($E100="","",COUNTIF($E$2:$E100,$E100))</f>
        <v>41</v>
      </c>
      <c r="U100" s="1" t="str">
        <f aca="false">IF($E100="","",$E100&amp;"|"&amp;T100)</f>
        <v>CLÁSICAS|41</v>
      </c>
    </row>
    <row r="101" customFormat="false" ht="15" hidden="false" customHeight="false" outlineLevel="0" collapsed="false">
      <c r="A101" s="21" t="s">
        <v>162</v>
      </c>
      <c r="B101" s="88" t="n">
        <v>46247</v>
      </c>
      <c r="C101" s="21" t="s">
        <v>60</v>
      </c>
      <c r="D101" s="21" t="s">
        <v>42</v>
      </c>
      <c r="E101" s="21" t="s">
        <v>7</v>
      </c>
      <c r="F101" s="70" t="n">
        <v>0.416666666666667</v>
      </c>
      <c r="G101" s="68" t="n">
        <v>890</v>
      </c>
      <c r="H101" s="68" t="n">
        <v>1008</v>
      </c>
      <c r="I101" s="68" t="n">
        <v>977.76</v>
      </c>
      <c r="J101" s="68" t="n">
        <v>1038.24</v>
      </c>
      <c r="L101" s="21" t="s">
        <v>47</v>
      </c>
      <c r="M101" s="21" t="s">
        <v>47</v>
      </c>
      <c r="N101" s="21" t="s">
        <v>47</v>
      </c>
      <c r="O101" s="21" t="s">
        <v>47</v>
      </c>
      <c r="P101" s="21" t="s">
        <v>47</v>
      </c>
      <c r="T101" s="3" t="n">
        <f aca="false">IF($E101="","",COUNTIF($E$2:$E101,$E101))</f>
        <v>42</v>
      </c>
      <c r="U101" s="1" t="str">
        <f aca="false">IF($E101="","",$E101&amp;"|"&amp;T101)</f>
        <v>CLÁSICAS|42</v>
      </c>
    </row>
    <row r="102" customFormat="false" ht="15" hidden="false" customHeight="false" outlineLevel="0" collapsed="false">
      <c r="A102" s="21" t="s">
        <v>163</v>
      </c>
      <c r="B102" s="88" t="n">
        <v>46247</v>
      </c>
      <c r="C102" s="21" t="s">
        <v>60</v>
      </c>
      <c r="D102" s="21" t="s">
        <v>42</v>
      </c>
      <c r="E102" s="21" t="s">
        <v>64</v>
      </c>
      <c r="F102" s="70" t="n">
        <v>0.416666666666667</v>
      </c>
      <c r="G102" s="68" t="n">
        <v>890</v>
      </c>
      <c r="H102" s="68" t="n">
        <v>985</v>
      </c>
      <c r="I102" s="68" t="n">
        <v>955.45</v>
      </c>
      <c r="J102" s="68" t="n">
        <v>1014.55</v>
      </c>
      <c r="L102" s="21" t="s">
        <v>47</v>
      </c>
      <c r="M102" s="21" t="s">
        <v>47</v>
      </c>
      <c r="N102" s="21" t="s">
        <v>47</v>
      </c>
      <c r="O102" s="21" t="s">
        <v>47</v>
      </c>
      <c r="P102" s="21" t="s">
        <v>47</v>
      </c>
      <c r="T102" s="3" t="n">
        <f aca="false">IF($E102="","",COUNTIF($E$2:$E102,$E102))</f>
        <v>22</v>
      </c>
      <c r="U102" s="1" t="str">
        <f aca="false">IF($E102="","",$E102&amp;"|"&amp;T102)</f>
        <v>THERMOSENSE|22</v>
      </c>
    </row>
    <row r="103" customFormat="false" ht="15" hidden="false" customHeight="false" outlineLevel="0" collapsed="false">
      <c r="A103" s="21" t="s">
        <v>164</v>
      </c>
      <c r="B103" s="88" t="n">
        <v>46247</v>
      </c>
      <c r="C103" s="21" t="s">
        <v>60</v>
      </c>
      <c r="D103" s="21" t="s">
        <v>42</v>
      </c>
      <c r="E103" s="21" t="s">
        <v>64</v>
      </c>
      <c r="F103" s="70" t="n">
        <v>0.458333333333333</v>
      </c>
      <c r="G103" s="68" t="n">
        <v>890</v>
      </c>
      <c r="H103" s="68" t="n">
        <v>985</v>
      </c>
      <c r="I103" s="68" t="n">
        <v>955.45</v>
      </c>
      <c r="J103" s="68" t="n">
        <v>1014.55</v>
      </c>
      <c r="L103" s="21" t="s">
        <v>47</v>
      </c>
      <c r="M103" s="21" t="s">
        <v>47</v>
      </c>
      <c r="N103" s="21" t="s">
        <v>47</v>
      </c>
      <c r="O103" s="21" t="s">
        <v>47</v>
      </c>
      <c r="P103" s="21" t="s">
        <v>47</v>
      </c>
      <c r="T103" s="3" t="n">
        <f aca="false">IF($E103="","",COUNTIF($E$2:$E103,$E103))</f>
        <v>23</v>
      </c>
      <c r="U103" s="1" t="str">
        <f aca="false">IF($E103="","",$E103&amp;"|"&amp;T103)</f>
        <v>THERMOSENSE|23</v>
      </c>
    </row>
    <row r="104" customFormat="false" ht="15" hidden="false" customHeight="false" outlineLevel="0" collapsed="false">
      <c r="A104" s="21" t="s">
        <v>165</v>
      </c>
      <c r="B104" s="88" t="n">
        <v>46247</v>
      </c>
      <c r="C104" s="21" t="s">
        <v>60</v>
      </c>
      <c r="D104" s="21" t="s">
        <v>42</v>
      </c>
      <c r="E104" s="21" t="s">
        <v>7</v>
      </c>
      <c r="F104" s="70" t="n">
        <v>0.458333333333333</v>
      </c>
      <c r="G104" s="68" t="n">
        <v>890</v>
      </c>
      <c r="H104" s="68" t="n">
        <v>1008</v>
      </c>
      <c r="I104" s="68" t="n">
        <v>977.76</v>
      </c>
      <c r="J104" s="68" t="n">
        <v>1038.24</v>
      </c>
      <c r="L104" s="21" t="s">
        <v>47</v>
      </c>
      <c r="M104" s="21" t="s">
        <v>47</v>
      </c>
      <c r="N104" s="21" t="s">
        <v>47</v>
      </c>
      <c r="O104" s="21" t="s">
        <v>47</v>
      </c>
      <c r="P104" s="21" t="s">
        <v>47</v>
      </c>
      <c r="T104" s="3" t="n">
        <f aca="false">IF($E104="","",COUNTIF($E$2:$E104,$E104))</f>
        <v>43</v>
      </c>
      <c r="U104" s="1" t="str">
        <f aca="false">IF($E104="","",$E104&amp;"|"&amp;T104)</f>
        <v>CLÁSICAS|43</v>
      </c>
    </row>
    <row r="105" customFormat="false" ht="15" hidden="false" customHeight="false" outlineLevel="0" collapsed="false">
      <c r="A105" s="21" t="s">
        <v>166</v>
      </c>
      <c r="B105" s="88" t="n">
        <v>46247</v>
      </c>
      <c r="C105" s="21" t="s">
        <v>60</v>
      </c>
      <c r="D105" s="21" t="s">
        <v>42</v>
      </c>
      <c r="E105" s="21" t="s">
        <v>7</v>
      </c>
      <c r="F105" s="70" t="n">
        <v>0.5</v>
      </c>
      <c r="G105" s="68" t="n">
        <v>890</v>
      </c>
      <c r="H105" s="68" t="n">
        <v>1008</v>
      </c>
      <c r="I105" s="68" t="n">
        <v>977.76</v>
      </c>
      <c r="J105" s="68" t="n">
        <v>1038.24</v>
      </c>
      <c r="L105" s="21" t="s">
        <v>47</v>
      </c>
      <c r="M105" s="21" t="s">
        <v>47</v>
      </c>
      <c r="N105" s="21" t="s">
        <v>47</v>
      </c>
      <c r="O105" s="21" t="s">
        <v>47</v>
      </c>
      <c r="P105" s="21" t="s">
        <v>47</v>
      </c>
      <c r="T105" s="3" t="n">
        <f aca="false">IF($E105="","",COUNTIF($E$2:$E105,$E105))</f>
        <v>44</v>
      </c>
      <c r="U105" s="1" t="str">
        <f aca="false">IF($E105="","",$E105&amp;"|"&amp;T105)</f>
        <v>CLÁSICAS|44</v>
      </c>
    </row>
    <row r="106" customFormat="false" ht="15" hidden="false" customHeight="false" outlineLevel="0" collapsed="false">
      <c r="A106" s="21" t="s">
        <v>167</v>
      </c>
      <c r="B106" s="88" t="n">
        <v>46247</v>
      </c>
      <c r="C106" s="21" t="s">
        <v>60</v>
      </c>
      <c r="D106" s="21" t="s">
        <v>42</v>
      </c>
      <c r="E106" s="21" t="s">
        <v>64</v>
      </c>
      <c r="F106" s="70" t="n">
        <v>0.5</v>
      </c>
      <c r="G106" s="68" t="n">
        <v>890</v>
      </c>
      <c r="H106" s="68" t="n">
        <v>985</v>
      </c>
      <c r="I106" s="68" t="n">
        <v>955.45</v>
      </c>
      <c r="J106" s="68" t="n">
        <v>1014.55</v>
      </c>
      <c r="L106" s="21" t="s">
        <v>47</v>
      </c>
      <c r="M106" s="21" t="s">
        <v>47</v>
      </c>
      <c r="N106" s="21" t="s">
        <v>47</v>
      </c>
      <c r="O106" s="21" t="s">
        <v>47</v>
      </c>
      <c r="P106" s="21" t="s">
        <v>47</v>
      </c>
      <c r="T106" s="3" t="n">
        <f aca="false">IF($E106="","",COUNTIF($E$2:$E106,$E106))</f>
        <v>24</v>
      </c>
      <c r="U106" s="1" t="str">
        <f aca="false">IF($E106="","",$E106&amp;"|"&amp;T106)</f>
        <v>THERMOSENSE|24</v>
      </c>
    </row>
    <row r="107" customFormat="false" ht="15" hidden="false" customHeight="false" outlineLevel="0" collapsed="false">
      <c r="A107" s="21" t="s">
        <v>168</v>
      </c>
      <c r="B107" s="88" t="n">
        <v>46248</v>
      </c>
      <c r="C107" s="21" t="s">
        <v>60</v>
      </c>
      <c r="D107" s="21" t="s">
        <v>42</v>
      </c>
      <c r="E107" s="21" t="s">
        <v>7</v>
      </c>
      <c r="F107" s="70" t="n">
        <v>0.25</v>
      </c>
      <c r="G107" s="68" t="n">
        <v>900</v>
      </c>
      <c r="H107" s="68" t="n">
        <v>1008</v>
      </c>
      <c r="I107" s="68" t="n">
        <v>977.76</v>
      </c>
      <c r="J107" s="68" t="n">
        <v>1038.24</v>
      </c>
      <c r="L107" s="21" t="s">
        <v>47</v>
      </c>
      <c r="M107" s="21" t="s">
        <v>47</v>
      </c>
      <c r="N107" s="21" t="s">
        <v>47</v>
      </c>
      <c r="O107" s="21" t="s">
        <v>47</v>
      </c>
      <c r="P107" s="21" t="s">
        <v>47</v>
      </c>
      <c r="T107" s="3" t="n">
        <f aca="false">IF($E107="","",COUNTIF($E$2:$E107,$E107))</f>
        <v>45</v>
      </c>
      <c r="U107" s="1" t="str">
        <f aca="false">IF($E107="","",$E107&amp;"|"&amp;T107)</f>
        <v>CLÁSICAS|45</v>
      </c>
    </row>
    <row r="108" customFormat="false" ht="15" hidden="false" customHeight="false" outlineLevel="0" collapsed="false">
      <c r="A108" s="21" t="s">
        <v>169</v>
      </c>
      <c r="B108" s="88" t="n">
        <v>46248</v>
      </c>
      <c r="C108" s="21" t="s">
        <v>60</v>
      </c>
      <c r="D108" s="21" t="s">
        <v>42</v>
      </c>
      <c r="E108" s="21" t="s">
        <v>62</v>
      </c>
      <c r="F108" s="70" t="n">
        <v>0.25</v>
      </c>
      <c r="G108" s="68" t="n">
        <v>875</v>
      </c>
      <c r="H108" s="68" t="n">
        <v>995</v>
      </c>
      <c r="I108" s="68" t="n">
        <v>965.15</v>
      </c>
      <c r="J108" s="68" t="n">
        <v>1024.85</v>
      </c>
      <c r="L108" s="21" t="s">
        <v>47</v>
      </c>
      <c r="M108" s="21" t="s">
        <v>47</v>
      </c>
      <c r="N108" s="21" t="s">
        <v>47</v>
      </c>
      <c r="O108" s="21" t="s">
        <v>47</v>
      </c>
      <c r="P108" s="21" t="s">
        <v>47</v>
      </c>
      <c r="T108" s="3" t="n">
        <f aca="false">IF($E108="","",COUNTIF($E$2:$E108,$E108))</f>
        <v>38</v>
      </c>
      <c r="U108" s="1" t="str">
        <f aca="false">IF($E108="","",$E108&amp;"|"&amp;T108)</f>
        <v>CERVICALES|38</v>
      </c>
    </row>
    <row r="109" customFormat="false" ht="15" hidden="false" customHeight="false" outlineLevel="0" collapsed="false">
      <c r="A109" s="21" t="s">
        <v>170</v>
      </c>
      <c r="B109" s="88" t="n">
        <v>46248</v>
      </c>
      <c r="C109" s="21" t="s">
        <v>60</v>
      </c>
      <c r="D109" s="21" t="s">
        <v>42</v>
      </c>
      <c r="E109" s="21" t="s">
        <v>62</v>
      </c>
      <c r="F109" s="70" t="n">
        <v>0.291666666666667</v>
      </c>
      <c r="G109" s="68" t="n">
        <v>875</v>
      </c>
      <c r="H109" s="68" t="n">
        <v>995</v>
      </c>
      <c r="I109" s="68" t="n">
        <v>965.15</v>
      </c>
      <c r="J109" s="68" t="n">
        <v>1024.85</v>
      </c>
      <c r="L109" s="21" t="s">
        <v>47</v>
      </c>
      <c r="M109" s="21" t="s">
        <v>47</v>
      </c>
      <c r="N109" s="21" t="s">
        <v>47</v>
      </c>
      <c r="O109" s="21" t="s">
        <v>47</v>
      </c>
      <c r="P109" s="21" t="s">
        <v>47</v>
      </c>
      <c r="T109" s="3" t="n">
        <f aca="false">IF($E109="","",COUNTIF($E$2:$E109,$E109))</f>
        <v>39</v>
      </c>
      <c r="U109" s="1" t="str">
        <f aca="false">IF($E109="","",$E109&amp;"|"&amp;T109)</f>
        <v>CERVICALES|39</v>
      </c>
    </row>
    <row r="110" customFormat="false" ht="15" hidden="false" customHeight="false" outlineLevel="0" collapsed="false">
      <c r="A110" s="21" t="s">
        <v>171</v>
      </c>
      <c r="B110" s="88" t="n">
        <v>46248</v>
      </c>
      <c r="C110" s="21" t="s">
        <v>60</v>
      </c>
      <c r="D110" s="21" t="s">
        <v>42</v>
      </c>
      <c r="E110" s="21" t="s">
        <v>7</v>
      </c>
      <c r="F110" s="70" t="n">
        <v>0.291666666666667</v>
      </c>
      <c r="G110" s="68" t="n">
        <v>900</v>
      </c>
      <c r="H110" s="68" t="n">
        <v>1008</v>
      </c>
      <c r="I110" s="68" t="n">
        <v>977.76</v>
      </c>
      <c r="J110" s="68" t="n">
        <v>1038.24</v>
      </c>
      <c r="L110" s="21" t="s">
        <v>47</v>
      </c>
      <c r="M110" s="21" t="s">
        <v>47</v>
      </c>
      <c r="N110" s="21" t="s">
        <v>47</v>
      </c>
      <c r="O110" s="21" t="s">
        <v>47</v>
      </c>
      <c r="P110" s="21" t="s">
        <v>47</v>
      </c>
      <c r="T110" s="3" t="n">
        <f aca="false">IF($E110="","",COUNTIF($E$2:$E110,$E110))</f>
        <v>46</v>
      </c>
      <c r="U110" s="1" t="str">
        <f aca="false">IF($E110="","",$E110&amp;"|"&amp;T110)</f>
        <v>CLÁSICAS|46</v>
      </c>
    </row>
    <row r="111" customFormat="false" ht="15" hidden="false" customHeight="false" outlineLevel="0" collapsed="false">
      <c r="A111" s="21" t="s">
        <v>172</v>
      </c>
      <c r="B111" s="88" t="n">
        <v>46248</v>
      </c>
      <c r="C111" s="21" t="s">
        <v>60</v>
      </c>
      <c r="D111" s="21" t="s">
        <v>42</v>
      </c>
      <c r="E111" s="21" t="s">
        <v>7</v>
      </c>
      <c r="F111" s="70" t="n">
        <v>0.333333333333333</v>
      </c>
      <c r="G111" s="68" t="n">
        <v>900</v>
      </c>
      <c r="H111" s="68" t="n">
        <v>1008</v>
      </c>
      <c r="I111" s="68" t="n">
        <v>977.76</v>
      </c>
      <c r="J111" s="68" t="n">
        <v>1038.24</v>
      </c>
      <c r="L111" s="21" t="s">
        <v>47</v>
      </c>
      <c r="M111" s="21" t="s">
        <v>47</v>
      </c>
      <c r="N111" s="21" t="s">
        <v>47</v>
      </c>
      <c r="O111" s="21" t="s">
        <v>47</v>
      </c>
      <c r="P111" s="21" t="s">
        <v>47</v>
      </c>
      <c r="T111" s="3" t="n">
        <f aca="false">IF($E111="","",COUNTIF($E$2:$E111,$E111))</f>
        <v>47</v>
      </c>
      <c r="U111" s="1" t="str">
        <f aca="false">IF($E111="","",$E111&amp;"|"&amp;T111)</f>
        <v>CLÁSICAS|47</v>
      </c>
    </row>
    <row r="112" customFormat="false" ht="15" hidden="false" customHeight="false" outlineLevel="0" collapsed="false">
      <c r="A112" s="21" t="s">
        <v>173</v>
      </c>
      <c r="B112" s="88" t="n">
        <v>46248</v>
      </c>
      <c r="C112" s="21" t="s">
        <v>60</v>
      </c>
      <c r="D112" s="21" t="s">
        <v>42</v>
      </c>
      <c r="E112" s="21" t="s">
        <v>62</v>
      </c>
      <c r="F112" s="70" t="n">
        <v>0.333333333333333</v>
      </c>
      <c r="G112" s="68" t="n">
        <v>880</v>
      </c>
      <c r="H112" s="68" t="n">
        <v>995</v>
      </c>
      <c r="I112" s="68" t="n">
        <v>965.15</v>
      </c>
      <c r="J112" s="68" t="n">
        <v>1024.85</v>
      </c>
      <c r="L112" s="21" t="s">
        <v>47</v>
      </c>
      <c r="M112" s="21" t="s">
        <v>47</v>
      </c>
      <c r="N112" s="21" t="s">
        <v>47</v>
      </c>
      <c r="O112" s="21" t="s">
        <v>47</v>
      </c>
      <c r="P112" s="21" t="s">
        <v>47</v>
      </c>
      <c r="T112" s="3" t="n">
        <f aca="false">IF($E112="","",COUNTIF($E$2:$E112,$E112))</f>
        <v>40</v>
      </c>
      <c r="U112" s="1" t="str">
        <f aca="false">IF($E112="","",$E112&amp;"|"&amp;T112)</f>
        <v>CERVICALES|40</v>
      </c>
    </row>
    <row r="113" customFormat="false" ht="15" hidden="false" customHeight="false" outlineLevel="0" collapsed="false">
      <c r="A113" s="21" t="s">
        <v>174</v>
      </c>
      <c r="B113" s="88" t="n">
        <v>46248</v>
      </c>
      <c r="C113" s="21" t="s">
        <v>60</v>
      </c>
      <c r="D113" s="21" t="s">
        <v>42</v>
      </c>
      <c r="E113" s="21" t="s">
        <v>62</v>
      </c>
      <c r="F113" s="70" t="n">
        <v>0.375</v>
      </c>
      <c r="G113" s="68" t="n">
        <v>880</v>
      </c>
      <c r="H113" s="68" t="n">
        <v>995</v>
      </c>
      <c r="I113" s="68" t="n">
        <v>965.15</v>
      </c>
      <c r="J113" s="68" t="n">
        <v>1024.85</v>
      </c>
      <c r="L113" s="21" t="s">
        <v>47</v>
      </c>
      <c r="M113" s="21" t="s">
        <v>47</v>
      </c>
      <c r="N113" s="21" t="s">
        <v>47</v>
      </c>
      <c r="O113" s="21" t="s">
        <v>47</v>
      </c>
      <c r="P113" s="21" t="s">
        <v>47</v>
      </c>
      <c r="T113" s="3" t="n">
        <f aca="false">IF($E113="","",COUNTIF($E$2:$E113,$E113))</f>
        <v>41</v>
      </c>
      <c r="U113" s="1" t="str">
        <f aca="false">IF($E113="","",$E113&amp;"|"&amp;T113)</f>
        <v>CERVICALES|41</v>
      </c>
    </row>
    <row r="114" customFormat="false" ht="15" hidden="false" customHeight="false" outlineLevel="0" collapsed="false">
      <c r="A114" s="21" t="s">
        <v>175</v>
      </c>
      <c r="B114" s="88" t="n">
        <v>46248</v>
      </c>
      <c r="C114" s="21" t="s">
        <v>60</v>
      </c>
      <c r="D114" s="21" t="s">
        <v>42</v>
      </c>
      <c r="E114" s="21" t="s">
        <v>7</v>
      </c>
      <c r="F114" s="70" t="n">
        <v>0.375</v>
      </c>
      <c r="G114" s="68" t="n">
        <v>900</v>
      </c>
      <c r="H114" s="68" t="n">
        <v>1008</v>
      </c>
      <c r="I114" s="68" t="n">
        <v>977.76</v>
      </c>
      <c r="J114" s="68" t="n">
        <v>1038.24</v>
      </c>
      <c r="L114" s="21" t="s">
        <v>47</v>
      </c>
      <c r="M114" s="21" t="s">
        <v>47</v>
      </c>
      <c r="N114" s="21" t="s">
        <v>47</v>
      </c>
      <c r="O114" s="21" t="s">
        <v>47</v>
      </c>
      <c r="P114" s="21" t="s">
        <v>47</v>
      </c>
      <c r="T114" s="3" t="n">
        <f aca="false">IF($E114="","",COUNTIF($E$2:$E114,$E114))</f>
        <v>48</v>
      </c>
      <c r="U114" s="1" t="str">
        <f aca="false">IF($E114="","",$E114&amp;"|"&amp;T114)</f>
        <v>CLÁSICAS|48</v>
      </c>
    </row>
    <row r="115" customFormat="false" ht="15" hidden="false" customHeight="false" outlineLevel="0" collapsed="false">
      <c r="A115" s="21" t="s">
        <v>176</v>
      </c>
      <c r="B115" s="88" t="n">
        <v>46248</v>
      </c>
      <c r="C115" s="21" t="s">
        <v>60</v>
      </c>
      <c r="D115" s="21" t="s">
        <v>42</v>
      </c>
      <c r="E115" s="21" t="s">
        <v>7</v>
      </c>
      <c r="F115" s="70" t="n">
        <v>0.416666666666667</v>
      </c>
      <c r="G115" s="68" t="n">
        <v>900</v>
      </c>
      <c r="H115" s="68" t="n">
        <v>1008</v>
      </c>
      <c r="I115" s="68" t="n">
        <v>977.76</v>
      </c>
      <c r="J115" s="68" t="n">
        <v>1038.24</v>
      </c>
      <c r="L115" s="21" t="s">
        <v>47</v>
      </c>
      <c r="M115" s="21" t="s">
        <v>47</v>
      </c>
      <c r="N115" s="21" t="s">
        <v>47</v>
      </c>
      <c r="O115" s="21" t="s">
        <v>47</v>
      </c>
      <c r="P115" s="21" t="s">
        <v>47</v>
      </c>
      <c r="T115" s="3" t="n">
        <f aca="false">IF($E115="","",COUNTIF($E$2:$E115,$E115))</f>
        <v>49</v>
      </c>
      <c r="U115" s="1" t="str">
        <f aca="false">IF($E115="","",$E115&amp;"|"&amp;T115)</f>
        <v>CLÁSICAS|49</v>
      </c>
    </row>
    <row r="116" customFormat="false" ht="15" hidden="false" customHeight="false" outlineLevel="0" collapsed="false">
      <c r="A116" s="21" t="s">
        <v>177</v>
      </c>
      <c r="B116" s="88" t="n">
        <v>46248</v>
      </c>
      <c r="C116" s="21" t="s">
        <v>60</v>
      </c>
      <c r="D116" s="21" t="s">
        <v>42</v>
      </c>
      <c r="E116" s="21" t="s">
        <v>62</v>
      </c>
      <c r="F116" s="70" t="n">
        <v>0.416666666666667</v>
      </c>
      <c r="G116" s="68" t="n">
        <v>885</v>
      </c>
      <c r="H116" s="68" t="n">
        <v>995</v>
      </c>
      <c r="I116" s="68" t="n">
        <v>965.15</v>
      </c>
      <c r="J116" s="68" t="n">
        <v>1024.85</v>
      </c>
      <c r="L116" s="21" t="s">
        <v>47</v>
      </c>
      <c r="M116" s="21" t="s">
        <v>47</v>
      </c>
      <c r="N116" s="21" t="s">
        <v>47</v>
      </c>
      <c r="O116" s="21" t="s">
        <v>47</v>
      </c>
      <c r="P116" s="21" t="s">
        <v>47</v>
      </c>
      <c r="T116" s="3" t="n">
        <f aca="false">IF($E116="","",COUNTIF($E$2:$E116,$E116))</f>
        <v>42</v>
      </c>
      <c r="U116" s="1" t="str">
        <f aca="false">IF($E116="","",$E116&amp;"|"&amp;T116)</f>
        <v>CERVICALES|42</v>
      </c>
    </row>
    <row r="117" customFormat="false" ht="15" hidden="false" customHeight="false" outlineLevel="0" collapsed="false">
      <c r="A117" s="21" t="s">
        <v>178</v>
      </c>
      <c r="B117" s="88" t="n">
        <v>46248</v>
      </c>
      <c r="C117" s="21" t="s">
        <v>60</v>
      </c>
      <c r="D117" s="21" t="s">
        <v>42</v>
      </c>
      <c r="E117" s="21" t="s">
        <v>62</v>
      </c>
      <c r="F117" s="70" t="n">
        <v>0.458333333333333</v>
      </c>
      <c r="G117" s="68" t="n">
        <v>885</v>
      </c>
      <c r="H117" s="68" t="n">
        <v>995</v>
      </c>
      <c r="I117" s="68" t="n">
        <v>965.15</v>
      </c>
      <c r="J117" s="68" t="n">
        <v>1024.85</v>
      </c>
      <c r="L117" s="21" t="s">
        <v>47</v>
      </c>
      <c r="M117" s="21" t="s">
        <v>47</v>
      </c>
      <c r="N117" s="21" t="s">
        <v>47</v>
      </c>
      <c r="O117" s="21" t="s">
        <v>47</v>
      </c>
      <c r="P117" s="21" t="s">
        <v>47</v>
      </c>
      <c r="T117" s="3" t="n">
        <f aca="false">IF($E117="","",COUNTIF($E$2:$E117,$E117))</f>
        <v>43</v>
      </c>
      <c r="U117" s="1" t="str">
        <f aca="false">IF($E117="","",$E117&amp;"|"&amp;T117)</f>
        <v>CERVICALES|43</v>
      </c>
    </row>
    <row r="118" customFormat="false" ht="15" hidden="false" customHeight="false" outlineLevel="0" collapsed="false">
      <c r="A118" s="21" t="s">
        <v>179</v>
      </c>
      <c r="B118" s="88" t="n">
        <v>46248</v>
      </c>
      <c r="C118" s="21" t="s">
        <v>60</v>
      </c>
      <c r="D118" s="21" t="s">
        <v>42</v>
      </c>
      <c r="E118" s="21" t="s">
        <v>7</v>
      </c>
      <c r="F118" s="70" t="n">
        <v>0.458333333333333</v>
      </c>
      <c r="G118" s="68" t="n">
        <v>900</v>
      </c>
      <c r="H118" s="68" t="n">
        <v>1008</v>
      </c>
      <c r="I118" s="68" t="n">
        <v>977.76</v>
      </c>
      <c r="J118" s="68" t="n">
        <v>1038.24</v>
      </c>
      <c r="L118" s="21" t="s">
        <v>47</v>
      </c>
      <c r="M118" s="21" t="s">
        <v>47</v>
      </c>
      <c r="N118" s="21" t="s">
        <v>47</v>
      </c>
      <c r="O118" s="21" t="s">
        <v>47</v>
      </c>
      <c r="P118" s="21" t="s">
        <v>47</v>
      </c>
      <c r="T118" s="3" t="n">
        <f aca="false">IF($E118="","",COUNTIF($E$2:$E118,$E118))</f>
        <v>50</v>
      </c>
      <c r="U118" s="1" t="str">
        <f aca="false">IF($E118="","",$E118&amp;"|"&amp;T118)</f>
        <v>CLÁSICAS|50</v>
      </c>
    </row>
    <row r="119" customFormat="false" ht="15" hidden="false" customHeight="false" outlineLevel="0" collapsed="false">
      <c r="A119" s="21" t="s">
        <v>180</v>
      </c>
      <c r="B119" s="88" t="n">
        <v>46248</v>
      </c>
      <c r="C119" s="21" t="s">
        <v>60</v>
      </c>
      <c r="D119" s="21" t="s">
        <v>42</v>
      </c>
      <c r="E119" s="21" t="s">
        <v>7</v>
      </c>
      <c r="F119" s="70" t="n">
        <v>0.5</v>
      </c>
      <c r="G119" s="68" t="n">
        <v>900</v>
      </c>
      <c r="H119" s="68" t="n">
        <v>1008</v>
      </c>
      <c r="I119" s="68" t="n">
        <v>977.76</v>
      </c>
      <c r="J119" s="68" t="n">
        <v>1038.24</v>
      </c>
      <c r="L119" s="21" t="s">
        <v>47</v>
      </c>
      <c r="M119" s="21" t="s">
        <v>47</v>
      </c>
      <c r="N119" s="21" t="s">
        <v>47</v>
      </c>
      <c r="O119" s="21" t="s">
        <v>47</v>
      </c>
      <c r="P119" s="21" t="s">
        <v>47</v>
      </c>
      <c r="T119" s="3" t="n">
        <f aca="false">IF($E119="","",COUNTIF($E$2:$E119,$E119))</f>
        <v>51</v>
      </c>
      <c r="U119" s="1" t="str">
        <f aca="false">IF($E119="","",$E119&amp;"|"&amp;T119)</f>
        <v>CLÁSICAS|51</v>
      </c>
    </row>
    <row r="120" customFormat="false" ht="15" hidden="false" customHeight="false" outlineLevel="0" collapsed="false">
      <c r="A120" s="21" t="s">
        <v>181</v>
      </c>
      <c r="B120" s="88" t="n">
        <v>46248</v>
      </c>
      <c r="C120" s="21" t="s">
        <v>60</v>
      </c>
      <c r="D120" s="21" t="s">
        <v>42</v>
      </c>
      <c r="E120" s="21" t="s">
        <v>62</v>
      </c>
      <c r="F120" s="70" t="n">
        <v>0.5</v>
      </c>
      <c r="G120" s="68" t="n">
        <v>880</v>
      </c>
      <c r="H120" s="68" t="n">
        <v>995</v>
      </c>
      <c r="I120" s="68" t="n">
        <v>965.15</v>
      </c>
      <c r="J120" s="68" t="n">
        <v>1024.85</v>
      </c>
      <c r="L120" s="21" t="s">
        <v>47</v>
      </c>
      <c r="M120" s="21" t="s">
        <v>47</v>
      </c>
      <c r="N120" s="21" t="s">
        <v>47</v>
      </c>
      <c r="O120" s="21" t="s">
        <v>47</v>
      </c>
      <c r="P120" s="21" t="s">
        <v>47</v>
      </c>
      <c r="T120" s="3" t="n">
        <f aca="false">IF($E120="","",COUNTIF($E$2:$E120,$E120))</f>
        <v>44</v>
      </c>
      <c r="U120" s="1" t="str">
        <f aca="false">IF($E120="","",$E120&amp;"|"&amp;T120)</f>
        <v>CERVICALES|44</v>
      </c>
    </row>
    <row r="121" customFormat="false" ht="15" hidden="false" customHeight="false" outlineLevel="0" collapsed="false">
      <c r="A121" s="21" t="s">
        <v>182</v>
      </c>
      <c r="B121" s="88" t="n">
        <v>46248</v>
      </c>
      <c r="C121" s="21" t="s">
        <v>60</v>
      </c>
      <c r="D121" s="21" t="s">
        <v>42</v>
      </c>
      <c r="E121" s="21" t="s">
        <v>62</v>
      </c>
      <c r="F121" s="70" t="n">
        <v>0.541666666666667</v>
      </c>
      <c r="G121" s="68" t="n">
        <v>880</v>
      </c>
      <c r="H121" s="68" t="n">
        <v>995</v>
      </c>
      <c r="I121" s="68" t="n">
        <v>965.15</v>
      </c>
      <c r="J121" s="68" t="n">
        <v>1024.85</v>
      </c>
      <c r="L121" s="21" t="s">
        <v>47</v>
      </c>
      <c r="M121" s="21" t="s">
        <v>47</v>
      </c>
      <c r="N121" s="21" t="s">
        <v>47</v>
      </c>
      <c r="O121" s="21" t="s">
        <v>47</v>
      </c>
      <c r="P121" s="21" t="s">
        <v>47</v>
      </c>
      <c r="T121" s="3" t="n">
        <f aca="false">IF($E121="","",COUNTIF($E$2:$E121,$E121))</f>
        <v>45</v>
      </c>
      <c r="U121" s="1" t="str">
        <f aca="false">IF($E121="","",$E121&amp;"|"&amp;T121)</f>
        <v>CERVICALES|45</v>
      </c>
    </row>
    <row r="122" customFormat="false" ht="15" hidden="false" customHeight="false" outlineLevel="0" collapsed="false">
      <c r="A122" s="21" t="s">
        <v>183</v>
      </c>
      <c r="B122" s="88" t="n">
        <v>46248</v>
      </c>
      <c r="C122" s="21" t="s">
        <v>60</v>
      </c>
      <c r="D122" s="21" t="s">
        <v>42</v>
      </c>
      <c r="E122" s="21" t="s">
        <v>7</v>
      </c>
      <c r="F122" s="70" t="n">
        <v>0.541666666666667</v>
      </c>
      <c r="G122" s="68" t="n">
        <v>900</v>
      </c>
      <c r="H122" s="68" t="n">
        <v>1008</v>
      </c>
      <c r="I122" s="68" t="n">
        <v>977.76</v>
      </c>
      <c r="J122" s="68" t="n">
        <v>1038.24</v>
      </c>
      <c r="L122" s="21" t="s">
        <v>47</v>
      </c>
      <c r="M122" s="21" t="s">
        <v>47</v>
      </c>
      <c r="N122" s="21" t="s">
        <v>47</v>
      </c>
      <c r="O122" s="21" t="s">
        <v>47</v>
      </c>
      <c r="P122" s="21" t="s">
        <v>47</v>
      </c>
      <c r="T122" s="3" t="n">
        <f aca="false">IF($E122="","",COUNTIF($E$2:$E122,$E122))</f>
        <v>52</v>
      </c>
      <c r="U122" s="1" t="str">
        <f aca="false">IF($E122="","",$E122&amp;"|"&amp;T122)</f>
        <v>CLÁSICAS|52</v>
      </c>
    </row>
    <row r="123" customFormat="false" ht="15" hidden="false" customHeight="false" outlineLevel="0" collapsed="false">
      <c r="A123" s="21" t="s">
        <v>184</v>
      </c>
      <c r="B123" s="88" t="n">
        <v>46254</v>
      </c>
      <c r="C123" s="21" t="s">
        <v>60</v>
      </c>
      <c r="D123" s="21" t="s">
        <v>42</v>
      </c>
      <c r="E123" s="21" t="s">
        <v>7</v>
      </c>
      <c r="F123" s="70" t="n">
        <v>0.25</v>
      </c>
      <c r="G123" s="68" t="n">
        <v>950</v>
      </c>
      <c r="H123" s="68" t="n">
        <v>1008</v>
      </c>
      <c r="I123" s="68" t="n">
        <v>977.76</v>
      </c>
      <c r="J123" s="68" t="n">
        <v>1038.24</v>
      </c>
      <c r="L123" s="21" t="s">
        <v>47</v>
      </c>
      <c r="M123" s="21" t="s">
        <v>47</v>
      </c>
      <c r="N123" s="21" t="s">
        <v>47</v>
      </c>
      <c r="O123" s="21" t="s">
        <v>47</v>
      </c>
      <c r="P123" s="21" t="s">
        <v>47</v>
      </c>
      <c r="T123" s="3" t="n">
        <f aca="false">IF($E123="","",COUNTIF($E$2:$E123,$E123))</f>
        <v>53</v>
      </c>
      <c r="U123" s="1" t="str">
        <f aca="false">IF($E123="","",$E123&amp;"|"&amp;T123)</f>
        <v>CLÁSICAS|53</v>
      </c>
    </row>
    <row r="124" customFormat="false" ht="15" hidden="false" customHeight="false" outlineLevel="0" collapsed="false">
      <c r="A124" s="21" t="s">
        <v>185</v>
      </c>
      <c r="B124" s="88" t="n">
        <v>46254</v>
      </c>
      <c r="C124" s="21" t="s">
        <v>60</v>
      </c>
      <c r="D124" s="21" t="s">
        <v>42</v>
      </c>
      <c r="E124" s="21" t="s">
        <v>62</v>
      </c>
      <c r="F124" s="70" t="n">
        <v>0.25</v>
      </c>
      <c r="G124" s="68" t="n">
        <v>940</v>
      </c>
      <c r="H124" s="68" t="n">
        <v>995</v>
      </c>
      <c r="I124" s="68" t="n">
        <v>965.15</v>
      </c>
      <c r="J124" s="68" t="n">
        <v>1024.85</v>
      </c>
      <c r="L124" s="21" t="s">
        <v>47</v>
      </c>
      <c r="M124" s="21" t="s">
        <v>47</v>
      </c>
      <c r="N124" s="21" t="s">
        <v>47</v>
      </c>
      <c r="O124" s="21" t="s">
        <v>47</v>
      </c>
      <c r="P124" s="21" t="s">
        <v>47</v>
      </c>
      <c r="T124" s="3" t="n">
        <f aca="false">IF($E124="","",COUNTIF($E$2:$E124,$E124))</f>
        <v>46</v>
      </c>
      <c r="U124" s="1" t="str">
        <f aca="false">IF($E124="","",$E124&amp;"|"&amp;T124)</f>
        <v>CERVICALES|46</v>
      </c>
    </row>
    <row r="125" customFormat="false" ht="15" hidden="false" customHeight="false" outlineLevel="0" collapsed="false">
      <c r="A125" s="21" t="s">
        <v>186</v>
      </c>
      <c r="B125" s="88" t="n">
        <v>46254</v>
      </c>
      <c r="C125" s="21" t="s">
        <v>60</v>
      </c>
      <c r="D125" s="21" t="s">
        <v>42</v>
      </c>
      <c r="E125" s="21" t="s">
        <v>187</v>
      </c>
      <c r="F125" s="70" t="n">
        <v>0.25</v>
      </c>
      <c r="G125" s="68" t="n">
        <v>770</v>
      </c>
      <c r="H125" s="68" t="n">
        <v>795</v>
      </c>
      <c r="I125" s="68" t="n">
        <v>771.15</v>
      </c>
      <c r="J125" s="68" t="n">
        <v>818.85</v>
      </c>
      <c r="L125" s="21" t="s">
        <v>47</v>
      </c>
      <c r="M125" s="21" t="s">
        <v>47</v>
      </c>
      <c r="N125" s="21" t="s">
        <v>47</v>
      </c>
      <c r="O125" s="21" t="s">
        <v>47</v>
      </c>
      <c r="P125" s="21" t="s">
        <v>47</v>
      </c>
      <c r="T125" s="3" t="n">
        <f aca="false">IF($E125="","",COUNTIF($E$2:$E125,$E125))</f>
        <v>1</v>
      </c>
      <c r="U125" s="1" t="str">
        <f aca="false">IF($E125="","",$E125&amp;"|"&amp;T125)</f>
        <v>PROMOS|1</v>
      </c>
    </row>
    <row r="126" customFormat="false" ht="15" hidden="false" customHeight="false" outlineLevel="0" collapsed="false">
      <c r="A126" s="21" t="s">
        <v>188</v>
      </c>
      <c r="B126" s="88" t="n">
        <v>46254</v>
      </c>
      <c r="C126" s="21" t="s">
        <v>60</v>
      </c>
      <c r="D126" s="21" t="s">
        <v>42</v>
      </c>
      <c r="E126" s="21" t="s">
        <v>187</v>
      </c>
      <c r="F126" s="70" t="n">
        <v>0.291666666666667</v>
      </c>
      <c r="G126" s="68" t="n">
        <v>770</v>
      </c>
      <c r="H126" s="68" t="n">
        <v>795</v>
      </c>
      <c r="I126" s="68" t="n">
        <v>771.15</v>
      </c>
      <c r="J126" s="68" t="n">
        <v>818.85</v>
      </c>
      <c r="L126" s="21" t="s">
        <v>47</v>
      </c>
      <c r="M126" s="21" t="s">
        <v>47</v>
      </c>
      <c r="N126" s="21" t="s">
        <v>47</v>
      </c>
      <c r="O126" s="21" t="s">
        <v>47</v>
      </c>
      <c r="P126" s="21" t="s">
        <v>47</v>
      </c>
      <c r="T126" s="3" t="n">
        <f aca="false">IF($E126="","",COUNTIF($E$2:$E126,$E126))</f>
        <v>2</v>
      </c>
      <c r="U126" s="1" t="str">
        <f aca="false">IF($E126="","",$E126&amp;"|"&amp;T126)</f>
        <v>PROMOS|2</v>
      </c>
    </row>
    <row r="127" customFormat="false" ht="15" hidden="false" customHeight="false" outlineLevel="0" collapsed="false">
      <c r="A127" s="21" t="s">
        <v>189</v>
      </c>
      <c r="B127" s="88" t="n">
        <v>46254</v>
      </c>
      <c r="C127" s="21" t="s">
        <v>60</v>
      </c>
      <c r="D127" s="21" t="s">
        <v>42</v>
      </c>
      <c r="E127" s="21" t="s">
        <v>7</v>
      </c>
      <c r="F127" s="70" t="n">
        <v>0.291666666666667</v>
      </c>
      <c r="G127" s="68" t="n">
        <v>970</v>
      </c>
      <c r="H127" s="68" t="n">
        <v>1008</v>
      </c>
      <c r="I127" s="68" t="n">
        <v>977.76</v>
      </c>
      <c r="J127" s="68" t="n">
        <v>1038.24</v>
      </c>
      <c r="L127" s="21" t="s">
        <v>47</v>
      </c>
      <c r="M127" s="21" t="s">
        <v>47</v>
      </c>
      <c r="N127" s="21" t="s">
        <v>47</v>
      </c>
      <c r="O127" s="21" t="s">
        <v>47</v>
      </c>
      <c r="P127" s="21" t="s">
        <v>47</v>
      </c>
      <c r="T127" s="3" t="n">
        <f aca="false">IF($E127="","",COUNTIF($E$2:$E127,$E127))</f>
        <v>54</v>
      </c>
      <c r="U127" s="1" t="str">
        <f aca="false">IF($E127="","",$E127&amp;"|"&amp;T127)</f>
        <v>CLÁSICAS|54</v>
      </c>
    </row>
    <row r="128" customFormat="false" ht="15" hidden="false" customHeight="false" outlineLevel="0" collapsed="false">
      <c r="A128" s="21" t="s">
        <v>190</v>
      </c>
      <c r="B128" s="88" t="n">
        <v>46254</v>
      </c>
      <c r="C128" s="21" t="s">
        <v>60</v>
      </c>
      <c r="D128" s="21" t="s">
        <v>42</v>
      </c>
      <c r="E128" s="21" t="s">
        <v>62</v>
      </c>
      <c r="F128" s="70" t="n">
        <v>0.291666666666667</v>
      </c>
      <c r="G128" s="68" t="n">
        <v>950</v>
      </c>
      <c r="H128" s="68" t="n">
        <v>995</v>
      </c>
      <c r="I128" s="68" t="n">
        <v>965.15</v>
      </c>
      <c r="J128" s="68" t="n">
        <v>1024.85</v>
      </c>
      <c r="L128" s="21" t="s">
        <v>47</v>
      </c>
      <c r="M128" s="21" t="s">
        <v>47</v>
      </c>
      <c r="N128" s="21" t="s">
        <v>47</v>
      </c>
      <c r="O128" s="21" t="s">
        <v>47</v>
      </c>
      <c r="P128" s="21" t="s">
        <v>47</v>
      </c>
      <c r="T128" s="3" t="n">
        <f aca="false">IF($E128="","",COUNTIF($E$2:$E128,$E128))</f>
        <v>47</v>
      </c>
      <c r="U128" s="1" t="str">
        <f aca="false">IF($E128="","",$E128&amp;"|"&amp;T128)</f>
        <v>CERVICALES|47</v>
      </c>
    </row>
    <row r="129" customFormat="false" ht="15" hidden="false" customHeight="false" outlineLevel="0" collapsed="false">
      <c r="A129" s="21" t="s">
        <v>191</v>
      </c>
      <c r="B129" s="88" t="n">
        <v>46254</v>
      </c>
      <c r="C129" s="21" t="s">
        <v>60</v>
      </c>
      <c r="D129" s="21" t="s">
        <v>42</v>
      </c>
      <c r="E129" s="21" t="s">
        <v>62</v>
      </c>
      <c r="F129" s="70" t="n">
        <v>0.333333333333333</v>
      </c>
      <c r="G129" s="68" t="n">
        <v>950</v>
      </c>
      <c r="H129" s="68" t="n">
        <v>995</v>
      </c>
      <c r="I129" s="68" t="n">
        <v>965.15</v>
      </c>
      <c r="J129" s="68" t="n">
        <v>1024.85</v>
      </c>
      <c r="L129" s="21" t="s">
        <v>47</v>
      </c>
      <c r="M129" s="21" t="s">
        <v>47</v>
      </c>
      <c r="N129" s="21" t="s">
        <v>47</v>
      </c>
      <c r="O129" s="21" t="s">
        <v>47</v>
      </c>
      <c r="P129" s="21" t="s">
        <v>47</v>
      </c>
      <c r="T129" s="3" t="n">
        <f aca="false">IF($E129="","",COUNTIF($E$2:$E129,$E129))</f>
        <v>48</v>
      </c>
      <c r="U129" s="1" t="str">
        <f aca="false">IF($E129="","",$E129&amp;"|"&amp;T129)</f>
        <v>CERVICALES|48</v>
      </c>
    </row>
    <row r="130" customFormat="false" ht="15" hidden="false" customHeight="false" outlineLevel="0" collapsed="false">
      <c r="A130" s="21" t="s">
        <v>192</v>
      </c>
      <c r="B130" s="88" t="n">
        <v>46254</v>
      </c>
      <c r="C130" s="21" t="s">
        <v>60</v>
      </c>
      <c r="D130" s="21" t="s">
        <v>42</v>
      </c>
      <c r="E130" s="21" t="s">
        <v>7</v>
      </c>
      <c r="F130" s="70" t="n">
        <v>0.333333333333333</v>
      </c>
      <c r="G130" s="68" t="n">
        <v>970</v>
      </c>
      <c r="H130" s="68" t="n">
        <v>1008</v>
      </c>
      <c r="I130" s="68" t="n">
        <v>977.76</v>
      </c>
      <c r="J130" s="68" t="n">
        <v>1038.24</v>
      </c>
      <c r="L130" s="21" t="s">
        <v>47</v>
      </c>
      <c r="M130" s="21" t="s">
        <v>47</v>
      </c>
      <c r="N130" s="21" t="s">
        <v>47</v>
      </c>
      <c r="O130" s="21" t="s">
        <v>47</v>
      </c>
      <c r="P130" s="21" t="s">
        <v>47</v>
      </c>
      <c r="T130" s="3" t="n">
        <f aca="false">IF($E130="","",COUNTIF($E$2:$E130,$E130))</f>
        <v>55</v>
      </c>
      <c r="U130" s="1" t="str">
        <f aca="false">IF($E130="","",$E130&amp;"|"&amp;T130)</f>
        <v>CLÁSICAS|55</v>
      </c>
    </row>
    <row r="131" customFormat="false" ht="15" hidden="false" customHeight="false" outlineLevel="0" collapsed="false">
      <c r="A131" s="21" t="s">
        <v>193</v>
      </c>
      <c r="B131" s="88" t="n">
        <v>46254</v>
      </c>
      <c r="C131" s="21" t="s">
        <v>60</v>
      </c>
      <c r="D131" s="21" t="s">
        <v>42</v>
      </c>
      <c r="E131" s="21" t="s">
        <v>187</v>
      </c>
      <c r="F131" s="70" t="n">
        <v>0.333333333333333</v>
      </c>
      <c r="G131" s="68" t="n">
        <v>770</v>
      </c>
      <c r="H131" s="68" t="n">
        <v>795</v>
      </c>
      <c r="I131" s="68" t="n">
        <v>771.15</v>
      </c>
      <c r="J131" s="68" t="n">
        <v>818.85</v>
      </c>
      <c r="L131" s="21" t="s">
        <v>47</v>
      </c>
      <c r="M131" s="21" t="s">
        <v>47</v>
      </c>
      <c r="N131" s="21" t="s">
        <v>47</v>
      </c>
      <c r="O131" s="21" t="s">
        <v>47</v>
      </c>
      <c r="P131" s="21" t="s">
        <v>47</v>
      </c>
      <c r="T131" s="3" t="n">
        <f aca="false">IF($E131="","",COUNTIF($E$2:$E131,$E131))</f>
        <v>3</v>
      </c>
      <c r="U131" s="1" t="str">
        <f aca="false">IF($E131="","",$E131&amp;"|"&amp;T131)</f>
        <v>PROMOS|3</v>
      </c>
    </row>
    <row r="132" customFormat="false" ht="15" hidden="false" customHeight="false" outlineLevel="0" collapsed="false">
      <c r="A132" s="21" t="s">
        <v>194</v>
      </c>
      <c r="B132" s="88" t="n">
        <v>46254</v>
      </c>
      <c r="C132" s="21" t="s">
        <v>60</v>
      </c>
      <c r="D132" s="21" t="s">
        <v>42</v>
      </c>
      <c r="E132" s="21" t="s">
        <v>187</v>
      </c>
      <c r="F132" s="70" t="n">
        <v>0.375</v>
      </c>
      <c r="G132" s="68" t="n">
        <v>770</v>
      </c>
      <c r="H132" s="68" t="n">
        <v>795</v>
      </c>
      <c r="I132" s="68" t="n">
        <v>771.15</v>
      </c>
      <c r="J132" s="68" t="n">
        <v>818.85</v>
      </c>
      <c r="L132" s="21" t="s">
        <v>47</v>
      </c>
      <c r="M132" s="21" t="s">
        <v>47</v>
      </c>
      <c r="N132" s="21" t="s">
        <v>47</v>
      </c>
      <c r="O132" s="21" t="s">
        <v>47</v>
      </c>
      <c r="P132" s="21" t="s">
        <v>47</v>
      </c>
      <c r="T132" s="3" t="n">
        <f aca="false">IF($E132="","",COUNTIF($E$2:$E132,$E132))</f>
        <v>4</v>
      </c>
      <c r="U132" s="1" t="str">
        <f aca="false">IF($E132="","",$E132&amp;"|"&amp;T132)</f>
        <v>PROMOS|4</v>
      </c>
    </row>
    <row r="133" customFormat="false" ht="15" hidden="false" customHeight="false" outlineLevel="0" collapsed="false">
      <c r="A133" s="21" t="s">
        <v>195</v>
      </c>
      <c r="B133" s="88" t="n">
        <v>46254</v>
      </c>
      <c r="C133" s="21" t="s">
        <v>60</v>
      </c>
      <c r="D133" s="21" t="s">
        <v>42</v>
      </c>
      <c r="E133" s="21" t="s">
        <v>7</v>
      </c>
      <c r="F133" s="70" t="n">
        <v>0.375</v>
      </c>
      <c r="G133" s="68" t="n">
        <v>970</v>
      </c>
      <c r="H133" s="68" t="n">
        <v>1008</v>
      </c>
      <c r="I133" s="68" t="n">
        <v>977.76</v>
      </c>
      <c r="J133" s="68" t="n">
        <v>1038.24</v>
      </c>
      <c r="L133" s="21" t="s">
        <v>47</v>
      </c>
      <c r="M133" s="21" t="s">
        <v>47</v>
      </c>
      <c r="N133" s="21" t="s">
        <v>47</v>
      </c>
      <c r="O133" s="21" t="s">
        <v>47</v>
      </c>
      <c r="P133" s="21" t="s">
        <v>47</v>
      </c>
      <c r="T133" s="3" t="n">
        <f aca="false">IF($E133="","",COUNTIF($E$2:$E133,$E133))</f>
        <v>56</v>
      </c>
      <c r="U133" s="1" t="str">
        <f aca="false">IF($E133="","",$E133&amp;"|"&amp;T133)</f>
        <v>CLÁSICAS|56</v>
      </c>
    </row>
    <row r="134" customFormat="false" ht="15" hidden="false" customHeight="false" outlineLevel="0" collapsed="false">
      <c r="A134" s="21" t="s">
        <v>196</v>
      </c>
      <c r="B134" s="88" t="n">
        <v>46254</v>
      </c>
      <c r="C134" s="21" t="s">
        <v>60</v>
      </c>
      <c r="D134" s="21" t="s">
        <v>42</v>
      </c>
      <c r="E134" s="21" t="s">
        <v>62</v>
      </c>
      <c r="F134" s="70" t="n">
        <v>0.375</v>
      </c>
      <c r="G134" s="68" t="n">
        <v>955</v>
      </c>
      <c r="H134" s="68" t="n">
        <v>995</v>
      </c>
      <c r="I134" s="68" t="n">
        <v>965.15</v>
      </c>
      <c r="J134" s="68" t="n">
        <v>1024.85</v>
      </c>
      <c r="L134" s="21" t="s">
        <v>47</v>
      </c>
      <c r="M134" s="21" t="s">
        <v>47</v>
      </c>
      <c r="N134" s="21" t="s">
        <v>47</v>
      </c>
      <c r="O134" s="21" t="s">
        <v>47</v>
      </c>
      <c r="P134" s="21" t="s">
        <v>47</v>
      </c>
      <c r="T134" s="3" t="n">
        <f aca="false">IF($E134="","",COUNTIF($E$2:$E134,$E134))</f>
        <v>49</v>
      </c>
      <c r="U134" s="1" t="str">
        <f aca="false">IF($E134="","",$E134&amp;"|"&amp;T134)</f>
        <v>CERVICALES|49</v>
      </c>
    </row>
    <row r="135" customFormat="false" ht="15" hidden="false" customHeight="false" outlineLevel="0" collapsed="false">
      <c r="A135" s="21" t="s">
        <v>197</v>
      </c>
      <c r="B135" s="88" t="n">
        <v>46254</v>
      </c>
      <c r="C135" s="21" t="s">
        <v>60</v>
      </c>
      <c r="D135" s="21" t="s">
        <v>42</v>
      </c>
      <c r="E135" s="21" t="s">
        <v>62</v>
      </c>
      <c r="F135" s="70" t="n">
        <v>0.458333333333333</v>
      </c>
      <c r="G135" s="68" t="n">
        <v>955</v>
      </c>
      <c r="H135" s="68" t="n">
        <v>995</v>
      </c>
      <c r="I135" s="68" t="n">
        <v>965.15</v>
      </c>
      <c r="J135" s="68" t="n">
        <v>1024.85</v>
      </c>
      <c r="L135" s="21" t="s">
        <v>47</v>
      </c>
      <c r="M135" s="21" t="s">
        <v>47</v>
      </c>
      <c r="N135" s="21" t="s">
        <v>47</v>
      </c>
      <c r="O135" s="21" t="s">
        <v>47</v>
      </c>
      <c r="P135" s="21" t="s">
        <v>47</v>
      </c>
      <c r="T135" s="3" t="n">
        <f aca="false">IF($E135="","",COUNTIF($E$2:$E135,$E135))</f>
        <v>50</v>
      </c>
      <c r="U135" s="1" t="str">
        <f aca="false">IF($E135="","",$E135&amp;"|"&amp;T135)</f>
        <v>CERVICALES|50</v>
      </c>
    </row>
    <row r="136" customFormat="false" ht="15" hidden="false" customHeight="false" outlineLevel="0" collapsed="false">
      <c r="A136" s="21" t="s">
        <v>198</v>
      </c>
      <c r="B136" s="88" t="n">
        <v>46254</v>
      </c>
      <c r="C136" s="21" t="s">
        <v>60</v>
      </c>
      <c r="D136" s="21" t="s">
        <v>42</v>
      </c>
      <c r="E136" s="21" t="s">
        <v>7</v>
      </c>
      <c r="F136" s="70" t="n">
        <v>0.458333333333333</v>
      </c>
      <c r="G136" s="68" t="n">
        <v>970</v>
      </c>
      <c r="H136" s="68" t="n">
        <v>1008</v>
      </c>
      <c r="I136" s="68" t="n">
        <v>977.76</v>
      </c>
      <c r="J136" s="68" t="n">
        <v>1038.24</v>
      </c>
      <c r="L136" s="21" t="s">
        <v>47</v>
      </c>
      <c r="M136" s="21" t="s">
        <v>47</v>
      </c>
      <c r="N136" s="21" t="s">
        <v>47</v>
      </c>
      <c r="O136" s="21" t="s">
        <v>47</v>
      </c>
      <c r="P136" s="21" t="s">
        <v>47</v>
      </c>
      <c r="T136" s="3" t="n">
        <f aca="false">IF($E136="","",COUNTIF($E$2:$E136,$E136))</f>
        <v>57</v>
      </c>
      <c r="U136" s="1" t="str">
        <f aca="false">IF($E136="","",$E136&amp;"|"&amp;T136)</f>
        <v>CLÁSICAS|57</v>
      </c>
    </row>
    <row r="137" customFormat="false" ht="15" hidden="false" customHeight="false" outlineLevel="0" collapsed="false">
      <c r="A137" s="21" t="s">
        <v>199</v>
      </c>
      <c r="B137" s="88" t="n">
        <v>46254</v>
      </c>
      <c r="C137" s="21" t="s">
        <v>60</v>
      </c>
      <c r="D137" s="21" t="s">
        <v>42</v>
      </c>
      <c r="E137" s="21" t="s">
        <v>187</v>
      </c>
      <c r="F137" s="70" t="n">
        <v>0.458333333333333</v>
      </c>
      <c r="G137" s="68" t="n">
        <v>775</v>
      </c>
      <c r="H137" s="68" t="n">
        <v>795</v>
      </c>
      <c r="I137" s="68" t="n">
        <v>771.15</v>
      </c>
      <c r="J137" s="68" t="n">
        <v>818.85</v>
      </c>
      <c r="L137" s="21" t="s">
        <v>47</v>
      </c>
      <c r="M137" s="21" t="s">
        <v>47</v>
      </c>
      <c r="N137" s="21" t="s">
        <v>47</v>
      </c>
      <c r="O137" s="21" t="s">
        <v>47</v>
      </c>
      <c r="P137" s="21" t="s">
        <v>47</v>
      </c>
      <c r="T137" s="3" t="n">
        <f aca="false">IF($E137="","",COUNTIF($E$2:$E137,$E137))</f>
        <v>5</v>
      </c>
      <c r="U137" s="1" t="str">
        <f aca="false">IF($E137="","",$E137&amp;"|"&amp;T137)</f>
        <v>PROMOS|5</v>
      </c>
    </row>
    <row r="138" customFormat="false" ht="15" hidden="false" customHeight="false" outlineLevel="0" collapsed="false">
      <c r="A138" s="21" t="s">
        <v>200</v>
      </c>
      <c r="B138" s="88" t="n">
        <v>46254</v>
      </c>
      <c r="C138" s="21" t="s">
        <v>60</v>
      </c>
      <c r="D138" s="21" t="s">
        <v>42</v>
      </c>
      <c r="E138" s="21" t="s">
        <v>187</v>
      </c>
      <c r="F138" s="70" t="n">
        <v>0.5</v>
      </c>
      <c r="G138" s="68" t="n">
        <v>775</v>
      </c>
      <c r="H138" s="68" t="n">
        <v>795</v>
      </c>
      <c r="I138" s="68" t="n">
        <v>771.15</v>
      </c>
      <c r="J138" s="68" t="n">
        <v>818.85</v>
      </c>
      <c r="L138" s="21" t="s">
        <v>47</v>
      </c>
      <c r="M138" s="21" t="s">
        <v>47</v>
      </c>
      <c r="N138" s="21" t="s">
        <v>47</v>
      </c>
      <c r="O138" s="21" t="s">
        <v>47</v>
      </c>
      <c r="P138" s="21" t="s">
        <v>47</v>
      </c>
      <c r="T138" s="3" t="n">
        <f aca="false">IF($E138="","",COUNTIF($E$2:$E138,$E138))</f>
        <v>6</v>
      </c>
      <c r="U138" s="1" t="str">
        <f aca="false">IF($E138="","",$E138&amp;"|"&amp;T138)</f>
        <v>PROMOS|6</v>
      </c>
    </row>
    <row r="139" customFormat="false" ht="15" hidden="false" customHeight="false" outlineLevel="0" collapsed="false">
      <c r="A139" s="21" t="s">
        <v>201</v>
      </c>
      <c r="B139" s="88" t="n">
        <v>46254</v>
      </c>
      <c r="C139" s="21" t="s">
        <v>60</v>
      </c>
      <c r="D139" s="21" t="s">
        <v>42</v>
      </c>
      <c r="E139" s="21" t="s">
        <v>7</v>
      </c>
      <c r="F139" s="70" t="n">
        <v>0.5</v>
      </c>
      <c r="G139" s="68" t="n">
        <v>970</v>
      </c>
      <c r="H139" s="68" t="n">
        <v>1008</v>
      </c>
      <c r="I139" s="68" t="n">
        <v>977.76</v>
      </c>
      <c r="J139" s="68" t="n">
        <v>1038.24</v>
      </c>
      <c r="L139" s="21" t="s">
        <v>47</v>
      </c>
      <c r="M139" s="21" t="s">
        <v>47</v>
      </c>
      <c r="N139" s="21" t="s">
        <v>47</v>
      </c>
      <c r="O139" s="21" t="s">
        <v>47</v>
      </c>
      <c r="P139" s="21" t="s">
        <v>47</v>
      </c>
      <c r="T139" s="3" t="n">
        <f aca="false">IF($E139="","",COUNTIF($E$2:$E139,$E139))</f>
        <v>58</v>
      </c>
      <c r="U139" s="1" t="str">
        <f aca="false">IF($E139="","",$E139&amp;"|"&amp;T139)</f>
        <v>CLÁSICAS|58</v>
      </c>
    </row>
    <row r="140" customFormat="false" ht="15" hidden="false" customHeight="false" outlineLevel="0" collapsed="false">
      <c r="A140" s="21" t="s">
        <v>202</v>
      </c>
      <c r="B140" s="88" t="n">
        <v>46254</v>
      </c>
      <c r="C140" s="21" t="s">
        <v>60</v>
      </c>
      <c r="D140" s="21" t="s">
        <v>42</v>
      </c>
      <c r="E140" s="21" t="s">
        <v>62</v>
      </c>
      <c r="F140" s="70" t="n">
        <v>0.5</v>
      </c>
      <c r="G140" s="68" t="n">
        <v>955</v>
      </c>
      <c r="H140" s="68" t="n">
        <v>995</v>
      </c>
      <c r="I140" s="68" t="n">
        <v>965.15</v>
      </c>
      <c r="J140" s="68" t="n">
        <v>1024.85</v>
      </c>
      <c r="L140" s="21" t="s">
        <v>47</v>
      </c>
      <c r="M140" s="21" t="s">
        <v>47</v>
      </c>
      <c r="N140" s="21" t="s">
        <v>47</v>
      </c>
      <c r="O140" s="21" t="s">
        <v>47</v>
      </c>
      <c r="P140" s="21" t="s">
        <v>47</v>
      </c>
      <c r="T140" s="3" t="n">
        <f aca="false">IF($E140="","",COUNTIF($E$2:$E140,$E140))</f>
        <v>51</v>
      </c>
      <c r="U140" s="1" t="str">
        <f aca="false">IF($E140="","",$E140&amp;"|"&amp;T140)</f>
        <v>CERVICALES|51</v>
      </c>
    </row>
    <row r="141" customFormat="false" ht="15" hidden="false" customHeight="false" outlineLevel="0" collapsed="false">
      <c r="A141" s="21" t="s">
        <v>203</v>
      </c>
      <c r="B141" s="88" t="n">
        <v>46255</v>
      </c>
      <c r="C141" s="21" t="s">
        <v>60</v>
      </c>
      <c r="D141" s="21" t="s">
        <v>42</v>
      </c>
      <c r="E141" s="21" t="s">
        <v>7</v>
      </c>
      <c r="F141" s="70" t="n">
        <v>0.25</v>
      </c>
      <c r="G141" s="68" t="n">
        <v>970</v>
      </c>
      <c r="H141" s="68" t="n">
        <v>1008</v>
      </c>
      <c r="I141" s="68" t="n">
        <v>977.76</v>
      </c>
      <c r="J141" s="68" t="n">
        <v>1038.24</v>
      </c>
      <c r="L141" s="21" t="s">
        <v>47</v>
      </c>
      <c r="M141" s="21" t="s">
        <v>47</v>
      </c>
      <c r="N141" s="21" t="s">
        <v>47</v>
      </c>
      <c r="O141" s="21" t="s">
        <v>47</v>
      </c>
      <c r="P141" s="21" t="s">
        <v>47</v>
      </c>
      <c r="T141" s="3" t="n">
        <f aca="false">IF($E141="","",COUNTIF($E$2:$E141,$E141))</f>
        <v>59</v>
      </c>
      <c r="U141" s="1" t="str">
        <f aca="false">IF($E141="","",$E141&amp;"|"&amp;T141)</f>
        <v>CLÁSICAS|59</v>
      </c>
    </row>
    <row r="142" customFormat="false" ht="15" hidden="false" customHeight="false" outlineLevel="0" collapsed="false">
      <c r="A142" s="21" t="s">
        <v>204</v>
      </c>
      <c r="B142" s="88" t="n">
        <v>46255</v>
      </c>
      <c r="C142" s="21" t="s">
        <v>60</v>
      </c>
      <c r="D142" s="21" t="s">
        <v>42</v>
      </c>
      <c r="E142" s="21" t="s">
        <v>62</v>
      </c>
      <c r="F142" s="70" t="n">
        <v>0.25</v>
      </c>
      <c r="G142" s="68" t="n">
        <v>955</v>
      </c>
      <c r="H142" s="68" t="n">
        <v>995</v>
      </c>
      <c r="I142" s="68" t="n">
        <v>965.15</v>
      </c>
      <c r="J142" s="68" t="n">
        <v>1024.85</v>
      </c>
      <c r="L142" s="21" t="s">
        <v>47</v>
      </c>
      <c r="M142" s="21" t="s">
        <v>47</v>
      </c>
      <c r="N142" s="21" t="s">
        <v>47</v>
      </c>
      <c r="O142" s="21" t="s">
        <v>47</v>
      </c>
      <c r="P142" s="21" t="s">
        <v>47</v>
      </c>
      <c r="T142" s="3" t="n">
        <f aca="false">IF($E142="","",COUNTIF($E$2:$E142,$E142))</f>
        <v>52</v>
      </c>
      <c r="U142" s="1" t="str">
        <f aca="false">IF($E142="","",$E142&amp;"|"&amp;T142)</f>
        <v>CERVICALES|52</v>
      </c>
    </row>
    <row r="143" customFormat="false" ht="15" hidden="false" customHeight="false" outlineLevel="0" collapsed="false">
      <c r="A143" s="21" t="s">
        <v>205</v>
      </c>
      <c r="B143" s="88" t="n">
        <v>46255</v>
      </c>
      <c r="C143" s="21" t="s">
        <v>60</v>
      </c>
      <c r="D143" s="21" t="s">
        <v>42</v>
      </c>
      <c r="E143" s="21" t="s">
        <v>62</v>
      </c>
      <c r="F143" s="70" t="n">
        <v>0.291666666666667</v>
      </c>
      <c r="G143" s="68" t="n">
        <v>955</v>
      </c>
      <c r="H143" s="68" t="n">
        <v>995</v>
      </c>
      <c r="I143" s="68" t="n">
        <v>965.15</v>
      </c>
      <c r="J143" s="68" t="n">
        <v>1024.85</v>
      </c>
      <c r="L143" s="21" t="s">
        <v>47</v>
      </c>
      <c r="M143" s="21" t="s">
        <v>47</v>
      </c>
      <c r="N143" s="21" t="s">
        <v>47</v>
      </c>
      <c r="O143" s="21" t="s">
        <v>47</v>
      </c>
      <c r="P143" s="21" t="s">
        <v>47</v>
      </c>
      <c r="T143" s="3" t="n">
        <f aca="false">IF($E143="","",COUNTIF($E$2:$E143,$E143))</f>
        <v>53</v>
      </c>
      <c r="U143" s="1" t="str">
        <f aca="false">IF($E143="","",$E143&amp;"|"&amp;T143)</f>
        <v>CERVICALES|53</v>
      </c>
    </row>
    <row r="144" customFormat="false" ht="15" hidden="false" customHeight="false" outlineLevel="0" collapsed="false">
      <c r="A144" s="21" t="s">
        <v>206</v>
      </c>
      <c r="B144" s="88" t="n">
        <v>46255</v>
      </c>
      <c r="C144" s="21" t="s">
        <v>60</v>
      </c>
      <c r="D144" s="21" t="s">
        <v>42</v>
      </c>
      <c r="E144" s="21" t="s">
        <v>7</v>
      </c>
      <c r="F144" s="70" t="n">
        <v>0.291666666666667</v>
      </c>
      <c r="G144" s="68" t="n">
        <v>970</v>
      </c>
      <c r="H144" s="68" t="n">
        <v>1008</v>
      </c>
      <c r="I144" s="68" t="n">
        <v>977.76</v>
      </c>
      <c r="J144" s="68" t="n">
        <v>1038.24</v>
      </c>
      <c r="L144" s="21" t="s">
        <v>47</v>
      </c>
      <c r="M144" s="21" t="s">
        <v>47</v>
      </c>
      <c r="N144" s="21" t="s">
        <v>47</v>
      </c>
      <c r="O144" s="21" t="s">
        <v>47</v>
      </c>
      <c r="P144" s="21" t="s">
        <v>47</v>
      </c>
      <c r="T144" s="3" t="n">
        <f aca="false">IF($E144="","",COUNTIF($E$2:$E144,$E144))</f>
        <v>60</v>
      </c>
      <c r="U144" s="1" t="str">
        <f aca="false">IF($E144="","",$E144&amp;"|"&amp;T144)</f>
        <v>CLÁSICAS|60</v>
      </c>
    </row>
    <row r="145" customFormat="false" ht="15" hidden="false" customHeight="false" outlineLevel="0" collapsed="false">
      <c r="A145" s="21" t="s">
        <v>207</v>
      </c>
      <c r="B145" s="88" t="n">
        <v>46255</v>
      </c>
      <c r="C145" s="21" t="s">
        <v>60</v>
      </c>
      <c r="D145" s="21" t="s">
        <v>42</v>
      </c>
      <c r="E145" s="21" t="s">
        <v>7</v>
      </c>
      <c r="F145" s="70" t="n">
        <v>0.333333333333333</v>
      </c>
      <c r="G145" s="68" t="n">
        <v>970</v>
      </c>
      <c r="H145" s="68" t="n">
        <v>1008</v>
      </c>
      <c r="I145" s="68" t="n">
        <v>977.76</v>
      </c>
      <c r="J145" s="68" t="n">
        <v>1038.24</v>
      </c>
      <c r="L145" s="21" t="s">
        <v>47</v>
      </c>
      <c r="M145" s="21" t="s">
        <v>47</v>
      </c>
      <c r="N145" s="21" t="s">
        <v>47</v>
      </c>
      <c r="O145" s="21" t="s">
        <v>47</v>
      </c>
      <c r="P145" s="21" t="s">
        <v>47</v>
      </c>
      <c r="T145" s="3" t="n">
        <f aca="false">IF($E145="","",COUNTIF($E$2:$E145,$E145))</f>
        <v>61</v>
      </c>
      <c r="U145" s="1" t="str">
        <f aca="false">IF($E145="","",$E145&amp;"|"&amp;T145)</f>
        <v>CLÁSICAS|61</v>
      </c>
    </row>
    <row r="146" customFormat="false" ht="15" hidden="false" customHeight="false" outlineLevel="0" collapsed="false">
      <c r="A146" s="21" t="s">
        <v>208</v>
      </c>
      <c r="B146" s="88" t="n">
        <v>46255</v>
      </c>
      <c r="C146" s="21" t="s">
        <v>60</v>
      </c>
      <c r="D146" s="21" t="s">
        <v>42</v>
      </c>
      <c r="E146" s="21" t="s">
        <v>62</v>
      </c>
      <c r="F146" s="70" t="n">
        <v>0.333333333333333</v>
      </c>
      <c r="G146" s="68" t="n">
        <v>955</v>
      </c>
      <c r="H146" s="68" t="n">
        <v>995</v>
      </c>
      <c r="I146" s="68" t="n">
        <v>965.15</v>
      </c>
      <c r="J146" s="68" t="n">
        <v>1024.85</v>
      </c>
      <c r="L146" s="21" t="s">
        <v>47</v>
      </c>
      <c r="M146" s="21" t="s">
        <v>47</v>
      </c>
      <c r="N146" s="21" t="s">
        <v>47</v>
      </c>
      <c r="O146" s="21" t="s">
        <v>47</v>
      </c>
      <c r="P146" s="21" t="s">
        <v>47</v>
      </c>
      <c r="T146" s="3" t="n">
        <f aca="false">IF($E146="","",COUNTIF($E$2:$E146,$E146))</f>
        <v>54</v>
      </c>
      <c r="U146" s="1" t="str">
        <f aca="false">IF($E146="","",$E146&amp;"|"&amp;T146)</f>
        <v>CERVICALES|54</v>
      </c>
    </row>
    <row r="147" customFormat="false" ht="15" hidden="false" customHeight="false" outlineLevel="0" collapsed="false">
      <c r="A147" s="21" t="s">
        <v>209</v>
      </c>
      <c r="B147" s="88" t="n">
        <v>46255</v>
      </c>
      <c r="C147" s="21" t="s">
        <v>60</v>
      </c>
      <c r="D147" s="21" t="s">
        <v>42</v>
      </c>
      <c r="E147" s="21" t="s">
        <v>62</v>
      </c>
      <c r="F147" s="70" t="n">
        <v>0.375</v>
      </c>
      <c r="G147" s="68" t="n">
        <v>955</v>
      </c>
      <c r="H147" s="68" t="n">
        <v>995</v>
      </c>
      <c r="I147" s="68" t="n">
        <v>965.15</v>
      </c>
      <c r="J147" s="68" t="n">
        <v>1024.85</v>
      </c>
      <c r="L147" s="21" t="s">
        <v>47</v>
      </c>
      <c r="M147" s="21" t="s">
        <v>47</v>
      </c>
      <c r="N147" s="21" t="s">
        <v>47</v>
      </c>
      <c r="O147" s="21" t="s">
        <v>47</v>
      </c>
      <c r="P147" s="21" t="s">
        <v>47</v>
      </c>
      <c r="T147" s="3" t="n">
        <f aca="false">IF($E147="","",COUNTIF($E$2:$E147,$E147))</f>
        <v>55</v>
      </c>
      <c r="U147" s="1" t="str">
        <f aca="false">IF($E147="","",$E147&amp;"|"&amp;T147)</f>
        <v>CERVICALES|55</v>
      </c>
    </row>
    <row r="148" customFormat="false" ht="15" hidden="false" customHeight="false" outlineLevel="0" collapsed="false">
      <c r="A148" s="21" t="s">
        <v>210</v>
      </c>
      <c r="B148" s="88" t="n">
        <v>46255</v>
      </c>
      <c r="C148" s="21" t="s">
        <v>60</v>
      </c>
      <c r="D148" s="21" t="s">
        <v>42</v>
      </c>
      <c r="E148" s="21" t="s">
        <v>7</v>
      </c>
      <c r="F148" s="70" t="n">
        <v>0.375</v>
      </c>
      <c r="G148" s="68" t="n">
        <v>970</v>
      </c>
      <c r="H148" s="68" t="n">
        <v>1008</v>
      </c>
      <c r="I148" s="68" t="n">
        <v>977.76</v>
      </c>
      <c r="J148" s="68" t="n">
        <v>1038.24</v>
      </c>
      <c r="L148" s="21" t="s">
        <v>47</v>
      </c>
      <c r="M148" s="21" t="s">
        <v>47</v>
      </c>
      <c r="N148" s="21" t="s">
        <v>47</v>
      </c>
      <c r="O148" s="21" t="s">
        <v>47</v>
      </c>
      <c r="P148" s="21" t="s">
        <v>47</v>
      </c>
      <c r="T148" s="3" t="n">
        <f aca="false">IF($E148="","",COUNTIF($E$2:$E148,$E148))</f>
        <v>62</v>
      </c>
      <c r="U148" s="1" t="str">
        <f aca="false">IF($E148="","",$E148&amp;"|"&amp;T148)</f>
        <v>CLÁSICAS|62</v>
      </c>
    </row>
    <row r="149" customFormat="false" ht="15" hidden="false" customHeight="false" outlineLevel="0" collapsed="false">
      <c r="A149" s="21" t="s">
        <v>211</v>
      </c>
      <c r="B149" s="88" t="n">
        <v>46255</v>
      </c>
      <c r="C149" s="21" t="s">
        <v>60</v>
      </c>
      <c r="D149" s="21" t="s">
        <v>42</v>
      </c>
      <c r="E149" s="21" t="s">
        <v>7</v>
      </c>
      <c r="F149" s="70" t="n">
        <v>0.416666666666667</v>
      </c>
      <c r="G149" s="68" t="n">
        <v>970</v>
      </c>
      <c r="H149" s="68" t="n">
        <v>1008</v>
      </c>
      <c r="I149" s="68" t="n">
        <v>977.76</v>
      </c>
      <c r="J149" s="68" t="n">
        <v>1038.24</v>
      </c>
      <c r="L149" s="21" t="s">
        <v>47</v>
      </c>
      <c r="M149" s="21" t="s">
        <v>47</v>
      </c>
      <c r="N149" s="21" t="s">
        <v>47</v>
      </c>
      <c r="O149" s="21" t="s">
        <v>47</v>
      </c>
      <c r="P149" s="21" t="s">
        <v>47</v>
      </c>
      <c r="T149" s="3" t="n">
        <f aca="false">IF($E149="","",COUNTIF($E$2:$E149,$E149))</f>
        <v>63</v>
      </c>
      <c r="U149" s="1" t="str">
        <f aca="false">IF($E149="","",$E149&amp;"|"&amp;T149)</f>
        <v>CLÁSICAS|63</v>
      </c>
    </row>
    <row r="150" customFormat="false" ht="15" hidden="false" customHeight="false" outlineLevel="0" collapsed="false">
      <c r="A150" s="21" t="s">
        <v>212</v>
      </c>
      <c r="B150" s="88" t="n">
        <v>46255</v>
      </c>
      <c r="C150" s="21" t="s">
        <v>60</v>
      </c>
      <c r="D150" s="21" t="s">
        <v>42</v>
      </c>
      <c r="E150" s="21" t="s">
        <v>62</v>
      </c>
      <c r="F150" s="70" t="n">
        <v>0.416666666666667</v>
      </c>
      <c r="G150" s="68" t="n">
        <v>955</v>
      </c>
      <c r="H150" s="68" t="n">
        <v>995</v>
      </c>
      <c r="I150" s="68" t="n">
        <v>965.15</v>
      </c>
      <c r="J150" s="68" t="n">
        <v>1024.85</v>
      </c>
      <c r="L150" s="21" t="s">
        <v>47</v>
      </c>
      <c r="M150" s="21" t="s">
        <v>47</v>
      </c>
      <c r="N150" s="21" t="s">
        <v>47</v>
      </c>
      <c r="O150" s="21" t="s">
        <v>47</v>
      </c>
      <c r="P150" s="21" t="s">
        <v>47</v>
      </c>
      <c r="T150" s="3" t="n">
        <f aca="false">IF($E150="","",COUNTIF($E$2:$E150,$E150))</f>
        <v>56</v>
      </c>
      <c r="U150" s="1" t="str">
        <f aca="false">IF($E150="","",$E150&amp;"|"&amp;T150)</f>
        <v>CERVICALES|56</v>
      </c>
    </row>
    <row r="151" customFormat="false" ht="15" hidden="false" customHeight="false" outlineLevel="0" collapsed="false">
      <c r="A151" s="21" t="s">
        <v>213</v>
      </c>
      <c r="B151" s="88" t="n">
        <v>46255</v>
      </c>
      <c r="C151" s="21" t="s">
        <v>60</v>
      </c>
      <c r="D151" s="21" t="s">
        <v>42</v>
      </c>
      <c r="E151" s="21" t="s">
        <v>62</v>
      </c>
      <c r="F151" s="70" t="n">
        <v>0.458333333333333</v>
      </c>
      <c r="G151" s="68" t="n">
        <v>955</v>
      </c>
      <c r="H151" s="68" t="n">
        <v>995</v>
      </c>
      <c r="I151" s="68" t="n">
        <v>965.15</v>
      </c>
      <c r="J151" s="68" t="n">
        <v>1024.85</v>
      </c>
      <c r="L151" s="21" t="s">
        <v>47</v>
      </c>
      <c r="M151" s="21" t="s">
        <v>47</v>
      </c>
      <c r="N151" s="21" t="s">
        <v>47</v>
      </c>
      <c r="O151" s="21" t="s">
        <v>47</v>
      </c>
      <c r="P151" s="21" t="s">
        <v>47</v>
      </c>
      <c r="T151" s="3" t="n">
        <f aca="false">IF($E151="","",COUNTIF($E$2:$E151,$E151))</f>
        <v>57</v>
      </c>
      <c r="U151" s="1" t="str">
        <f aca="false">IF($E151="","",$E151&amp;"|"&amp;T151)</f>
        <v>CERVICALES|57</v>
      </c>
    </row>
    <row r="152" customFormat="false" ht="15" hidden="false" customHeight="false" outlineLevel="0" collapsed="false">
      <c r="A152" s="21" t="s">
        <v>214</v>
      </c>
      <c r="B152" s="88" t="n">
        <v>46255</v>
      </c>
      <c r="C152" s="21" t="s">
        <v>60</v>
      </c>
      <c r="D152" s="21" t="s">
        <v>42</v>
      </c>
      <c r="E152" s="21" t="s">
        <v>7</v>
      </c>
      <c r="F152" s="70" t="n">
        <v>0.458333333333333</v>
      </c>
      <c r="G152" s="68" t="n">
        <v>970</v>
      </c>
      <c r="H152" s="68" t="n">
        <v>1008</v>
      </c>
      <c r="I152" s="68" t="n">
        <v>977.76</v>
      </c>
      <c r="J152" s="68" t="n">
        <v>1038.24</v>
      </c>
      <c r="L152" s="21" t="s">
        <v>47</v>
      </c>
      <c r="M152" s="21" t="s">
        <v>47</v>
      </c>
      <c r="N152" s="21" t="s">
        <v>47</v>
      </c>
      <c r="O152" s="21" t="s">
        <v>47</v>
      </c>
      <c r="P152" s="21" t="s">
        <v>47</v>
      </c>
      <c r="T152" s="3" t="n">
        <f aca="false">IF($E152="","",COUNTIF($E$2:$E152,$E152))</f>
        <v>64</v>
      </c>
      <c r="U152" s="1" t="str">
        <f aca="false">IF($E152="","",$E152&amp;"|"&amp;T152)</f>
        <v>CLÁSICAS|64</v>
      </c>
    </row>
    <row r="153" customFormat="false" ht="15" hidden="false" customHeight="false" outlineLevel="0" collapsed="false">
      <c r="A153" s="21" t="s">
        <v>215</v>
      </c>
      <c r="B153" s="88" t="n">
        <v>46255</v>
      </c>
      <c r="C153" s="21" t="s">
        <v>60</v>
      </c>
      <c r="D153" s="21" t="s">
        <v>42</v>
      </c>
      <c r="E153" s="21" t="s">
        <v>7</v>
      </c>
      <c r="F153" s="70" t="n">
        <v>0.5</v>
      </c>
      <c r="G153" s="68" t="n">
        <v>970</v>
      </c>
      <c r="H153" s="68" t="n">
        <v>1008</v>
      </c>
      <c r="I153" s="68" t="n">
        <v>977.76</v>
      </c>
      <c r="J153" s="68" t="n">
        <v>1038.24</v>
      </c>
      <c r="L153" s="21" t="s">
        <v>47</v>
      </c>
      <c r="M153" s="21" t="s">
        <v>47</v>
      </c>
      <c r="N153" s="21" t="s">
        <v>47</v>
      </c>
      <c r="O153" s="21" t="s">
        <v>47</v>
      </c>
      <c r="P153" s="21" t="s">
        <v>47</v>
      </c>
      <c r="T153" s="3" t="n">
        <f aca="false">IF($E153="","",COUNTIF($E$2:$E153,$E153))</f>
        <v>65</v>
      </c>
      <c r="U153" s="1" t="str">
        <f aca="false">IF($E153="","",$E153&amp;"|"&amp;T153)</f>
        <v>CLÁSICAS|65</v>
      </c>
    </row>
    <row r="154" customFormat="false" ht="15" hidden="false" customHeight="false" outlineLevel="0" collapsed="false">
      <c r="A154" s="21" t="s">
        <v>216</v>
      </c>
      <c r="B154" s="88" t="n">
        <v>46255</v>
      </c>
      <c r="C154" s="21" t="s">
        <v>60</v>
      </c>
      <c r="D154" s="21" t="s">
        <v>42</v>
      </c>
      <c r="E154" s="21" t="s">
        <v>62</v>
      </c>
      <c r="F154" s="70" t="n">
        <v>0.5</v>
      </c>
      <c r="G154" s="68" t="n">
        <v>950</v>
      </c>
      <c r="H154" s="68" t="n">
        <v>995</v>
      </c>
      <c r="I154" s="68" t="n">
        <v>965.15</v>
      </c>
      <c r="J154" s="68" t="n">
        <v>1024.85</v>
      </c>
      <c r="L154" s="21" t="s">
        <v>47</v>
      </c>
      <c r="M154" s="21" t="s">
        <v>47</v>
      </c>
      <c r="N154" s="21" t="s">
        <v>47</v>
      </c>
      <c r="O154" s="21" t="s">
        <v>47</v>
      </c>
      <c r="P154" s="21" t="s">
        <v>47</v>
      </c>
      <c r="T154" s="3" t="n">
        <f aca="false">IF($E154="","",COUNTIF($E$2:$E154,$E154))</f>
        <v>58</v>
      </c>
      <c r="U154" s="1" t="str">
        <f aca="false">IF($E154="","",$E154&amp;"|"&amp;T154)</f>
        <v>CERVICALES|58</v>
      </c>
    </row>
    <row r="155" customFormat="false" ht="15" hidden="false" customHeight="false" outlineLevel="0" collapsed="false">
      <c r="A155" s="21" t="s">
        <v>217</v>
      </c>
      <c r="B155" s="88" t="n">
        <v>46255</v>
      </c>
      <c r="C155" s="21" t="s">
        <v>60</v>
      </c>
      <c r="D155" s="21" t="s">
        <v>42</v>
      </c>
      <c r="E155" s="21" t="s">
        <v>62</v>
      </c>
      <c r="F155" s="70" t="n">
        <v>0.541666666666667</v>
      </c>
      <c r="G155" s="68" t="n">
        <v>950</v>
      </c>
      <c r="H155" s="68" t="n">
        <v>995</v>
      </c>
      <c r="I155" s="68" t="n">
        <v>965.15</v>
      </c>
      <c r="J155" s="68" t="n">
        <v>1024.85</v>
      </c>
      <c r="L155" s="21" t="s">
        <v>47</v>
      </c>
      <c r="M155" s="21" t="s">
        <v>47</v>
      </c>
      <c r="N155" s="21" t="s">
        <v>47</v>
      </c>
      <c r="O155" s="21" t="s">
        <v>47</v>
      </c>
      <c r="P155" s="21" t="s">
        <v>47</v>
      </c>
      <c r="T155" s="3" t="n">
        <f aca="false">IF($E155="","",COUNTIF($E$2:$E155,$E155))</f>
        <v>59</v>
      </c>
      <c r="U155" s="1" t="str">
        <f aca="false">IF($E155="","",$E155&amp;"|"&amp;T155)</f>
        <v>CERVICALES|59</v>
      </c>
    </row>
    <row r="156" customFormat="false" ht="15" hidden="false" customHeight="false" outlineLevel="0" collapsed="false">
      <c r="A156" s="21" t="s">
        <v>218</v>
      </c>
      <c r="B156" s="88" t="n">
        <v>46255</v>
      </c>
      <c r="C156" s="21" t="s">
        <v>60</v>
      </c>
      <c r="D156" s="21" t="s">
        <v>42</v>
      </c>
      <c r="E156" s="21" t="s">
        <v>7</v>
      </c>
      <c r="F156" s="70" t="n">
        <v>0.541666666666667</v>
      </c>
      <c r="G156" s="68" t="n">
        <v>965</v>
      </c>
      <c r="H156" s="68" t="n">
        <v>1008</v>
      </c>
      <c r="I156" s="68" t="n">
        <v>977.76</v>
      </c>
      <c r="J156" s="68" t="n">
        <v>1038.24</v>
      </c>
      <c r="L156" s="21" t="s">
        <v>47</v>
      </c>
      <c r="M156" s="21" t="s">
        <v>47</v>
      </c>
      <c r="N156" s="21" t="s">
        <v>47</v>
      </c>
      <c r="O156" s="21" t="s">
        <v>47</v>
      </c>
      <c r="P156" s="21" t="s">
        <v>47</v>
      </c>
      <c r="T156" s="3" t="n">
        <f aca="false">IF($E156="","",COUNTIF($E$2:$E156,$E156))</f>
        <v>66</v>
      </c>
      <c r="U156" s="1" t="str">
        <f aca="false">IF($E156="","",$E156&amp;"|"&amp;T156)</f>
        <v>CLÁSICAS|66</v>
      </c>
    </row>
    <row r="157" customFormat="false" ht="15" hidden="false" customHeight="false" outlineLevel="0" collapsed="false">
      <c r="A157" s="21" t="s">
        <v>219</v>
      </c>
      <c r="B157" s="88" t="n">
        <v>46258</v>
      </c>
      <c r="C157" s="21" t="s">
        <v>60</v>
      </c>
      <c r="D157" s="21" t="s">
        <v>42</v>
      </c>
      <c r="E157" s="21" t="s">
        <v>7</v>
      </c>
      <c r="F157" s="70" t="n">
        <v>0.416666666666667</v>
      </c>
      <c r="G157" s="68" t="n">
        <v>965</v>
      </c>
      <c r="H157" s="68" t="n">
        <v>1008</v>
      </c>
      <c r="I157" s="68" t="n">
        <v>977.76</v>
      </c>
      <c r="J157" s="68" t="n">
        <v>1038.24</v>
      </c>
      <c r="L157" s="21" t="s">
        <v>47</v>
      </c>
      <c r="M157" s="21" t="s">
        <v>47</v>
      </c>
      <c r="N157" s="21" t="s">
        <v>47</v>
      </c>
      <c r="O157" s="21" t="s">
        <v>47</v>
      </c>
      <c r="P157" s="21" t="s">
        <v>47</v>
      </c>
      <c r="T157" s="3" t="n">
        <f aca="false">IF($E157="","",COUNTIF($E$2:$E157,$E157))</f>
        <v>67</v>
      </c>
      <c r="U157" s="1" t="str">
        <f aca="false">IF($E157="","",$E157&amp;"|"&amp;T157)</f>
        <v>CLÁSICAS|67</v>
      </c>
    </row>
    <row r="158" customFormat="false" ht="15" hidden="false" customHeight="false" outlineLevel="0" collapsed="false">
      <c r="A158" s="21" t="s">
        <v>220</v>
      </c>
      <c r="B158" s="88" t="n">
        <v>46258</v>
      </c>
      <c r="C158" s="21" t="s">
        <v>60</v>
      </c>
      <c r="D158" s="21" t="s">
        <v>42</v>
      </c>
      <c r="E158" s="21" t="s">
        <v>62</v>
      </c>
      <c r="F158" s="70" t="n">
        <v>0.416666666666667</v>
      </c>
      <c r="G158" s="68" t="n">
        <v>955</v>
      </c>
      <c r="H158" s="68" t="n">
        <v>995</v>
      </c>
      <c r="I158" s="68" t="n">
        <v>965.15</v>
      </c>
      <c r="J158" s="68" t="n">
        <v>1024.85</v>
      </c>
      <c r="L158" s="21" t="s">
        <v>47</v>
      </c>
      <c r="M158" s="21" t="s">
        <v>47</v>
      </c>
      <c r="N158" s="21" t="s">
        <v>47</v>
      </c>
      <c r="O158" s="21" t="s">
        <v>47</v>
      </c>
      <c r="P158" s="21" t="s">
        <v>47</v>
      </c>
      <c r="T158" s="3" t="n">
        <f aca="false">IF($E158="","",COUNTIF($E$2:$E158,$E158))</f>
        <v>60</v>
      </c>
      <c r="U158" s="1" t="str">
        <f aca="false">IF($E158="","",$E158&amp;"|"&amp;T158)</f>
        <v>CERVICALES|60</v>
      </c>
    </row>
    <row r="159" customFormat="false" ht="15" hidden="false" customHeight="false" outlineLevel="0" collapsed="false">
      <c r="A159" s="21" t="s">
        <v>221</v>
      </c>
      <c r="B159" s="88" t="n">
        <v>46258</v>
      </c>
      <c r="C159" s="21" t="s">
        <v>60</v>
      </c>
      <c r="D159" s="21" t="s">
        <v>42</v>
      </c>
      <c r="E159" s="21" t="s">
        <v>62</v>
      </c>
      <c r="F159" s="70" t="n">
        <v>0.458333333333333</v>
      </c>
      <c r="G159" s="68" t="n">
        <v>955</v>
      </c>
      <c r="H159" s="68" t="n">
        <v>995</v>
      </c>
      <c r="I159" s="68" t="n">
        <v>965.15</v>
      </c>
      <c r="J159" s="68" t="n">
        <v>1024.85</v>
      </c>
      <c r="L159" s="21" t="s">
        <v>47</v>
      </c>
      <c r="M159" s="21" t="s">
        <v>47</v>
      </c>
      <c r="N159" s="21" t="s">
        <v>47</v>
      </c>
      <c r="O159" s="21" t="s">
        <v>47</v>
      </c>
      <c r="P159" s="21" t="s">
        <v>47</v>
      </c>
      <c r="T159" s="3" t="n">
        <f aca="false">IF($E159="","",COUNTIF($E$2:$E159,$E159))</f>
        <v>61</v>
      </c>
      <c r="U159" s="1" t="str">
        <f aca="false">IF($E159="","",$E159&amp;"|"&amp;T159)</f>
        <v>CERVICALES|61</v>
      </c>
    </row>
    <row r="160" customFormat="false" ht="15" hidden="false" customHeight="false" outlineLevel="0" collapsed="false">
      <c r="A160" s="21" t="s">
        <v>222</v>
      </c>
      <c r="B160" s="88" t="n">
        <v>46258</v>
      </c>
      <c r="C160" s="21" t="s">
        <v>60</v>
      </c>
      <c r="D160" s="21" t="s">
        <v>42</v>
      </c>
      <c r="E160" s="21" t="s">
        <v>7</v>
      </c>
      <c r="F160" s="70" t="n">
        <v>0.458333333333333</v>
      </c>
      <c r="G160" s="68" t="n">
        <v>970</v>
      </c>
      <c r="H160" s="68" t="n">
        <v>1008</v>
      </c>
      <c r="I160" s="68" t="n">
        <v>977.76</v>
      </c>
      <c r="J160" s="68" t="n">
        <v>1038.24</v>
      </c>
      <c r="L160" s="21" t="s">
        <v>47</v>
      </c>
      <c r="M160" s="21" t="s">
        <v>47</v>
      </c>
      <c r="N160" s="21" t="s">
        <v>47</v>
      </c>
      <c r="O160" s="21" t="s">
        <v>47</v>
      </c>
      <c r="P160" s="21" t="s">
        <v>47</v>
      </c>
      <c r="T160" s="3" t="n">
        <f aca="false">IF($E160="","",COUNTIF($E$2:$E160,$E160))</f>
        <v>68</v>
      </c>
      <c r="U160" s="1" t="str">
        <f aca="false">IF($E160="","",$E160&amp;"|"&amp;T160)</f>
        <v>CLÁSICAS|68</v>
      </c>
    </row>
    <row r="161" customFormat="false" ht="15" hidden="false" customHeight="false" outlineLevel="0" collapsed="false">
      <c r="A161" s="21" t="s">
        <v>223</v>
      </c>
      <c r="B161" s="88" t="n">
        <v>46258</v>
      </c>
      <c r="C161" s="21" t="s">
        <v>60</v>
      </c>
      <c r="D161" s="21" t="s">
        <v>42</v>
      </c>
      <c r="E161" s="21" t="s">
        <v>7</v>
      </c>
      <c r="F161" s="70" t="n">
        <v>0.5</v>
      </c>
      <c r="G161" s="68" t="n">
        <v>970</v>
      </c>
      <c r="H161" s="68" t="n">
        <v>1008</v>
      </c>
      <c r="I161" s="68" t="n">
        <v>977.76</v>
      </c>
      <c r="J161" s="68" t="n">
        <v>1038.24</v>
      </c>
      <c r="L161" s="21" t="s">
        <v>47</v>
      </c>
      <c r="M161" s="21" t="s">
        <v>47</v>
      </c>
      <c r="N161" s="21" t="s">
        <v>47</v>
      </c>
      <c r="O161" s="21" t="s">
        <v>47</v>
      </c>
      <c r="P161" s="21" t="s">
        <v>47</v>
      </c>
      <c r="T161" s="3" t="n">
        <f aca="false">IF($E161="","",COUNTIF($E$2:$E161,$E161))</f>
        <v>69</v>
      </c>
      <c r="U161" s="1" t="str">
        <f aca="false">IF($E161="","",$E161&amp;"|"&amp;T161)</f>
        <v>CLÁSICAS|69</v>
      </c>
    </row>
    <row r="162" customFormat="false" ht="15" hidden="false" customHeight="false" outlineLevel="0" collapsed="false">
      <c r="A162" s="21" t="s">
        <v>224</v>
      </c>
      <c r="B162" s="88" t="n">
        <v>46258</v>
      </c>
      <c r="C162" s="21" t="s">
        <v>60</v>
      </c>
      <c r="D162" s="21" t="s">
        <v>42</v>
      </c>
      <c r="E162" s="21" t="s">
        <v>62</v>
      </c>
      <c r="F162" s="70" t="n">
        <v>0.5</v>
      </c>
      <c r="G162" s="68" t="n">
        <v>955</v>
      </c>
      <c r="H162" s="68" t="n">
        <v>995</v>
      </c>
      <c r="I162" s="68" t="n">
        <v>965.15</v>
      </c>
      <c r="J162" s="68" t="n">
        <v>1024.85</v>
      </c>
      <c r="L162" s="21" t="s">
        <v>47</v>
      </c>
      <c r="M162" s="21" t="s">
        <v>47</v>
      </c>
      <c r="N162" s="21" t="s">
        <v>47</v>
      </c>
      <c r="O162" s="21" t="s">
        <v>47</v>
      </c>
      <c r="P162" s="21" t="s">
        <v>47</v>
      </c>
      <c r="T162" s="3" t="n">
        <f aca="false">IF($E162="","",COUNTIF($E$2:$E162,$E162))</f>
        <v>62</v>
      </c>
      <c r="U162" s="1" t="str">
        <f aca="false">IF($E162="","",$E162&amp;"|"&amp;T162)</f>
        <v>CERVICALES|62</v>
      </c>
    </row>
    <row r="163" customFormat="false" ht="15" hidden="false" customHeight="false" outlineLevel="0" collapsed="false">
      <c r="A163" s="21" t="s">
        <v>225</v>
      </c>
      <c r="B163" s="88" t="n">
        <v>46259</v>
      </c>
      <c r="C163" s="21" t="s">
        <v>60</v>
      </c>
      <c r="D163" s="21" t="s">
        <v>42</v>
      </c>
      <c r="E163" s="21" t="s">
        <v>62</v>
      </c>
      <c r="F163" s="70" t="n">
        <v>0.25</v>
      </c>
      <c r="G163" s="68" t="n">
        <v>955</v>
      </c>
      <c r="H163" s="68" t="n">
        <v>995</v>
      </c>
      <c r="I163" s="68" t="n">
        <v>965.15</v>
      </c>
      <c r="J163" s="68" t="n">
        <v>1024.85</v>
      </c>
      <c r="L163" s="21" t="s">
        <v>47</v>
      </c>
      <c r="M163" s="21" t="s">
        <v>47</v>
      </c>
      <c r="N163" s="21" t="s">
        <v>47</v>
      </c>
      <c r="O163" s="21" t="s">
        <v>47</v>
      </c>
      <c r="P163" s="21" t="s">
        <v>47</v>
      </c>
      <c r="T163" s="3" t="n">
        <f aca="false">IF($E163="","",COUNTIF($E$2:$E163,$E163))</f>
        <v>63</v>
      </c>
      <c r="U163" s="1" t="str">
        <f aca="false">IF($E163="","",$E163&amp;"|"&amp;T163)</f>
        <v>CERVICALES|63</v>
      </c>
    </row>
    <row r="164" customFormat="false" ht="15" hidden="false" customHeight="false" outlineLevel="0" collapsed="false">
      <c r="A164" s="21" t="s">
        <v>226</v>
      </c>
      <c r="B164" s="88" t="n">
        <v>46259</v>
      </c>
      <c r="C164" s="21" t="s">
        <v>60</v>
      </c>
      <c r="D164" s="21" t="s">
        <v>42</v>
      </c>
      <c r="E164" s="21" t="s">
        <v>7</v>
      </c>
      <c r="F164" s="70" t="n">
        <v>0.25</v>
      </c>
      <c r="G164" s="68" t="n">
        <v>970</v>
      </c>
      <c r="H164" s="68" t="n">
        <v>1008</v>
      </c>
      <c r="I164" s="68" t="n">
        <v>977.76</v>
      </c>
      <c r="J164" s="68" t="n">
        <v>1038.24</v>
      </c>
      <c r="L164" s="21" t="s">
        <v>47</v>
      </c>
      <c r="M164" s="21" t="s">
        <v>47</v>
      </c>
      <c r="N164" s="21" t="s">
        <v>47</v>
      </c>
      <c r="O164" s="21" t="s">
        <v>47</v>
      </c>
      <c r="P164" s="21" t="s">
        <v>47</v>
      </c>
      <c r="T164" s="3" t="n">
        <f aca="false">IF($E164="","",COUNTIF($E$2:$E164,$E164))</f>
        <v>70</v>
      </c>
      <c r="U164" s="1" t="str">
        <f aca="false">IF($E164="","",$E164&amp;"|"&amp;T164)</f>
        <v>CLÁSICAS|70</v>
      </c>
    </row>
    <row r="165" customFormat="false" ht="15" hidden="false" customHeight="false" outlineLevel="0" collapsed="false">
      <c r="A165" s="21" t="s">
        <v>227</v>
      </c>
      <c r="B165" s="88" t="n">
        <v>46259</v>
      </c>
      <c r="C165" s="21" t="s">
        <v>60</v>
      </c>
      <c r="D165" s="21" t="s">
        <v>42</v>
      </c>
      <c r="E165" s="21" t="s">
        <v>187</v>
      </c>
      <c r="F165" s="70" t="n">
        <v>0.25</v>
      </c>
      <c r="G165" s="68" t="n">
        <v>770</v>
      </c>
      <c r="H165" s="68" t="n">
        <v>795</v>
      </c>
      <c r="I165" s="68" t="n">
        <v>771.15</v>
      </c>
      <c r="J165" s="68" t="n">
        <v>818.85</v>
      </c>
      <c r="L165" s="21" t="s">
        <v>47</v>
      </c>
      <c r="M165" s="21" t="s">
        <v>47</v>
      </c>
      <c r="N165" s="21" t="s">
        <v>47</v>
      </c>
      <c r="O165" s="21" t="s">
        <v>47</v>
      </c>
      <c r="P165" s="21" t="s">
        <v>47</v>
      </c>
      <c r="T165" s="3" t="n">
        <f aca="false">IF($E165="","",COUNTIF($E$2:$E165,$E165))</f>
        <v>7</v>
      </c>
      <c r="U165" s="1" t="str">
        <f aca="false">IF($E165="","",$E165&amp;"|"&amp;T165)</f>
        <v>PROMOS|7</v>
      </c>
    </row>
    <row r="166" customFormat="false" ht="15" hidden="false" customHeight="false" outlineLevel="0" collapsed="false">
      <c r="A166" s="21" t="s">
        <v>228</v>
      </c>
      <c r="B166" s="88" t="n">
        <v>46259</v>
      </c>
      <c r="C166" s="21" t="s">
        <v>60</v>
      </c>
      <c r="D166" s="21" t="s">
        <v>42</v>
      </c>
      <c r="E166" s="21" t="s">
        <v>187</v>
      </c>
      <c r="F166" s="70" t="n">
        <v>0.291666666666667</v>
      </c>
      <c r="G166" s="68" t="n">
        <v>770</v>
      </c>
      <c r="H166" s="68" t="n">
        <v>795</v>
      </c>
      <c r="I166" s="68" t="n">
        <v>771.15</v>
      </c>
      <c r="J166" s="68" t="n">
        <v>818.85</v>
      </c>
      <c r="L166" s="21" t="s">
        <v>47</v>
      </c>
      <c r="M166" s="21" t="s">
        <v>47</v>
      </c>
      <c r="N166" s="21" t="s">
        <v>47</v>
      </c>
      <c r="O166" s="21" t="s">
        <v>47</v>
      </c>
      <c r="P166" s="21" t="s">
        <v>47</v>
      </c>
      <c r="T166" s="3" t="n">
        <f aca="false">IF($E166="","",COUNTIF($E$2:$E166,$E166))</f>
        <v>8</v>
      </c>
      <c r="U166" s="1" t="str">
        <f aca="false">IF($E166="","",$E166&amp;"|"&amp;T166)</f>
        <v>PROMOS|8</v>
      </c>
    </row>
    <row r="167" customFormat="false" ht="15" hidden="false" customHeight="false" outlineLevel="0" collapsed="false">
      <c r="A167" s="21" t="s">
        <v>229</v>
      </c>
      <c r="B167" s="88" t="n">
        <v>46259</v>
      </c>
      <c r="C167" s="21" t="s">
        <v>60</v>
      </c>
      <c r="D167" s="21" t="s">
        <v>42</v>
      </c>
      <c r="E167" s="21" t="s">
        <v>62</v>
      </c>
      <c r="F167" s="70" t="n">
        <v>0.291666666666667</v>
      </c>
      <c r="G167" s="68" t="n">
        <v>955</v>
      </c>
      <c r="H167" s="68" t="n">
        <v>995</v>
      </c>
      <c r="I167" s="68" t="n">
        <v>965.15</v>
      </c>
      <c r="J167" s="68" t="n">
        <v>1024.85</v>
      </c>
      <c r="L167" s="21" t="s">
        <v>47</v>
      </c>
      <c r="M167" s="21" t="s">
        <v>47</v>
      </c>
      <c r="N167" s="21" t="s">
        <v>47</v>
      </c>
      <c r="O167" s="21" t="s">
        <v>47</v>
      </c>
      <c r="P167" s="21" t="s">
        <v>47</v>
      </c>
      <c r="T167" s="3" t="n">
        <f aca="false">IF($E167="","",COUNTIF($E$2:$E167,$E167))</f>
        <v>64</v>
      </c>
      <c r="U167" s="1" t="str">
        <f aca="false">IF($E167="","",$E167&amp;"|"&amp;T167)</f>
        <v>CERVICALES|64</v>
      </c>
    </row>
    <row r="168" customFormat="false" ht="15" hidden="false" customHeight="false" outlineLevel="0" collapsed="false">
      <c r="A168" s="21" t="s">
        <v>230</v>
      </c>
      <c r="B168" s="88" t="n">
        <v>46259</v>
      </c>
      <c r="C168" s="21" t="s">
        <v>60</v>
      </c>
      <c r="D168" s="21" t="s">
        <v>42</v>
      </c>
      <c r="E168" s="21" t="s">
        <v>7</v>
      </c>
      <c r="F168" s="70" t="n">
        <v>0.291666666666667</v>
      </c>
      <c r="G168" s="68" t="n">
        <v>970</v>
      </c>
      <c r="H168" s="68" t="n">
        <v>1008</v>
      </c>
      <c r="I168" s="68" t="n">
        <v>977.76</v>
      </c>
      <c r="J168" s="68" t="n">
        <v>1038.24</v>
      </c>
      <c r="L168" s="21" t="s">
        <v>47</v>
      </c>
      <c r="M168" s="21" t="s">
        <v>47</v>
      </c>
      <c r="N168" s="21" t="s">
        <v>47</v>
      </c>
      <c r="O168" s="21" t="s">
        <v>47</v>
      </c>
      <c r="P168" s="21" t="s">
        <v>47</v>
      </c>
      <c r="T168" s="3" t="n">
        <f aca="false">IF($E168="","",COUNTIF($E$2:$E168,$E168))</f>
        <v>71</v>
      </c>
      <c r="U168" s="1" t="str">
        <f aca="false">IF($E168="","",$E168&amp;"|"&amp;T168)</f>
        <v>CLÁSICAS|71</v>
      </c>
    </row>
    <row r="169" customFormat="false" ht="15" hidden="false" customHeight="false" outlineLevel="0" collapsed="false">
      <c r="A169" s="21" t="s">
        <v>231</v>
      </c>
      <c r="B169" s="88" t="n">
        <v>46259</v>
      </c>
      <c r="C169" s="21" t="s">
        <v>60</v>
      </c>
      <c r="D169" s="21" t="s">
        <v>42</v>
      </c>
      <c r="E169" s="21" t="s">
        <v>7</v>
      </c>
      <c r="F169" s="70" t="n">
        <v>0.333333333333333</v>
      </c>
      <c r="G169" s="68" t="n">
        <v>970</v>
      </c>
      <c r="H169" s="68" t="n">
        <v>1008</v>
      </c>
      <c r="I169" s="68" t="n">
        <v>977.76</v>
      </c>
      <c r="J169" s="68" t="n">
        <v>1038.24</v>
      </c>
      <c r="L169" s="21" t="s">
        <v>47</v>
      </c>
      <c r="M169" s="21" t="s">
        <v>47</v>
      </c>
      <c r="N169" s="21" t="s">
        <v>47</v>
      </c>
      <c r="O169" s="21" t="s">
        <v>47</v>
      </c>
      <c r="P169" s="21" t="s">
        <v>47</v>
      </c>
      <c r="T169" s="3" t="n">
        <f aca="false">IF($E169="","",COUNTIF($E$2:$E169,$E169))</f>
        <v>72</v>
      </c>
      <c r="U169" s="1" t="str">
        <f aca="false">IF($E169="","",$E169&amp;"|"&amp;T169)</f>
        <v>CLÁSICAS|72</v>
      </c>
    </row>
    <row r="170" customFormat="false" ht="15" hidden="false" customHeight="false" outlineLevel="0" collapsed="false">
      <c r="A170" s="21" t="s">
        <v>232</v>
      </c>
      <c r="B170" s="88" t="n">
        <v>46259</v>
      </c>
      <c r="C170" s="21" t="s">
        <v>60</v>
      </c>
      <c r="D170" s="21" t="s">
        <v>42</v>
      </c>
      <c r="E170" s="21" t="s">
        <v>62</v>
      </c>
      <c r="F170" s="70" t="n">
        <v>0.333333333333333</v>
      </c>
      <c r="G170" s="68" t="n">
        <v>955</v>
      </c>
      <c r="H170" s="68" t="n">
        <v>995</v>
      </c>
      <c r="I170" s="68" t="n">
        <v>965.15</v>
      </c>
      <c r="J170" s="68" t="n">
        <v>1024.85</v>
      </c>
      <c r="L170" s="21" t="s">
        <v>47</v>
      </c>
      <c r="M170" s="21" t="s">
        <v>47</v>
      </c>
      <c r="N170" s="21" t="s">
        <v>47</v>
      </c>
      <c r="O170" s="21" t="s">
        <v>47</v>
      </c>
      <c r="P170" s="21" t="s">
        <v>47</v>
      </c>
      <c r="T170" s="3" t="n">
        <f aca="false">IF($E170="","",COUNTIF($E$2:$E170,$E170))</f>
        <v>65</v>
      </c>
      <c r="U170" s="1" t="str">
        <f aca="false">IF($E170="","",$E170&amp;"|"&amp;T170)</f>
        <v>CERVICALES|65</v>
      </c>
    </row>
    <row r="171" customFormat="false" ht="15" hidden="false" customHeight="false" outlineLevel="0" collapsed="false">
      <c r="A171" s="21" t="s">
        <v>233</v>
      </c>
      <c r="B171" s="88" t="n">
        <v>46259</v>
      </c>
      <c r="C171" s="21" t="s">
        <v>60</v>
      </c>
      <c r="D171" s="21" t="s">
        <v>42</v>
      </c>
      <c r="E171" s="21" t="s">
        <v>187</v>
      </c>
      <c r="F171" s="70" t="n">
        <v>0.333333333333333</v>
      </c>
      <c r="G171" s="68" t="n">
        <v>760</v>
      </c>
      <c r="H171" s="68" t="n">
        <v>795</v>
      </c>
      <c r="I171" s="68" t="n">
        <v>771.15</v>
      </c>
      <c r="J171" s="68" t="n">
        <v>818.85</v>
      </c>
      <c r="L171" s="21" t="s">
        <v>47</v>
      </c>
      <c r="M171" s="21" t="s">
        <v>47</v>
      </c>
      <c r="N171" s="21" t="s">
        <v>47</v>
      </c>
      <c r="O171" s="21" t="s">
        <v>47</v>
      </c>
      <c r="P171" s="21" t="s">
        <v>47</v>
      </c>
      <c r="T171" s="3" t="n">
        <f aca="false">IF($E171="","",COUNTIF($E$2:$E171,$E171))</f>
        <v>9</v>
      </c>
      <c r="U171" s="1" t="str">
        <f aca="false">IF($E171="","",$E171&amp;"|"&amp;T171)</f>
        <v>PROMOS|9</v>
      </c>
    </row>
    <row r="172" customFormat="false" ht="15" hidden="false" customHeight="false" outlineLevel="0" collapsed="false">
      <c r="A172" s="21" t="s">
        <v>234</v>
      </c>
      <c r="B172" s="88" t="n">
        <v>46259</v>
      </c>
      <c r="C172" s="21" t="s">
        <v>60</v>
      </c>
      <c r="D172" s="21" t="s">
        <v>42</v>
      </c>
      <c r="E172" s="21" t="s">
        <v>187</v>
      </c>
      <c r="F172" s="70" t="n">
        <v>0.375</v>
      </c>
      <c r="G172" s="68" t="n">
        <v>760</v>
      </c>
      <c r="H172" s="68" t="n">
        <v>795</v>
      </c>
      <c r="I172" s="68" t="n">
        <v>771.15</v>
      </c>
      <c r="J172" s="68" t="n">
        <v>818.85</v>
      </c>
      <c r="L172" s="21" t="s">
        <v>47</v>
      </c>
      <c r="M172" s="21" t="s">
        <v>47</v>
      </c>
      <c r="N172" s="21" t="s">
        <v>47</v>
      </c>
      <c r="O172" s="21" t="s">
        <v>47</v>
      </c>
      <c r="P172" s="21" t="s">
        <v>47</v>
      </c>
      <c r="T172" s="3" t="n">
        <f aca="false">IF($E172="","",COUNTIF($E$2:$E172,$E172))</f>
        <v>10</v>
      </c>
      <c r="U172" s="1" t="str">
        <f aca="false">IF($E172="","",$E172&amp;"|"&amp;T172)</f>
        <v>PROMOS|10</v>
      </c>
    </row>
    <row r="173" customFormat="false" ht="15" hidden="false" customHeight="false" outlineLevel="0" collapsed="false">
      <c r="A173" s="21" t="s">
        <v>235</v>
      </c>
      <c r="B173" s="88" t="n">
        <v>46259</v>
      </c>
      <c r="C173" s="21" t="s">
        <v>60</v>
      </c>
      <c r="D173" s="21" t="s">
        <v>42</v>
      </c>
      <c r="E173" s="21" t="s">
        <v>7</v>
      </c>
      <c r="F173" s="70" t="n">
        <v>0.375</v>
      </c>
      <c r="G173" s="68" t="n">
        <v>970</v>
      </c>
      <c r="H173" s="68" t="n">
        <v>1008</v>
      </c>
      <c r="I173" s="68" t="n">
        <v>977.76</v>
      </c>
      <c r="J173" s="68" t="n">
        <v>1038.24</v>
      </c>
      <c r="L173" s="21" t="s">
        <v>47</v>
      </c>
      <c r="M173" s="21" t="s">
        <v>47</v>
      </c>
      <c r="N173" s="21" t="s">
        <v>47</v>
      </c>
      <c r="O173" s="21" t="s">
        <v>47</v>
      </c>
      <c r="P173" s="21" t="s">
        <v>47</v>
      </c>
      <c r="T173" s="3" t="n">
        <f aca="false">IF($E173="","",COUNTIF($E$2:$E173,$E173))</f>
        <v>73</v>
      </c>
      <c r="U173" s="1" t="str">
        <f aca="false">IF($E173="","",$E173&amp;"|"&amp;T173)</f>
        <v>CLÁSICAS|73</v>
      </c>
    </row>
    <row r="174" customFormat="false" ht="15" hidden="false" customHeight="false" outlineLevel="0" collapsed="false">
      <c r="A174" s="21" t="s">
        <v>236</v>
      </c>
      <c r="B174" s="88" t="n">
        <v>46259</v>
      </c>
      <c r="C174" s="21" t="s">
        <v>60</v>
      </c>
      <c r="D174" s="21" t="s">
        <v>42</v>
      </c>
      <c r="E174" s="21" t="s">
        <v>62</v>
      </c>
      <c r="F174" s="70" t="n">
        <v>0.375</v>
      </c>
      <c r="G174" s="68" t="n">
        <v>955</v>
      </c>
      <c r="H174" s="68" t="n">
        <v>995</v>
      </c>
      <c r="I174" s="68" t="n">
        <v>965.15</v>
      </c>
      <c r="J174" s="68" t="n">
        <v>1024.85</v>
      </c>
      <c r="L174" s="21" t="s">
        <v>47</v>
      </c>
      <c r="M174" s="21" t="s">
        <v>47</v>
      </c>
      <c r="N174" s="21" t="s">
        <v>47</v>
      </c>
      <c r="O174" s="21" t="s">
        <v>47</v>
      </c>
      <c r="P174" s="21" t="s">
        <v>47</v>
      </c>
      <c r="T174" s="3" t="n">
        <f aca="false">IF($E174="","",COUNTIF($E$2:$E174,$E174))</f>
        <v>66</v>
      </c>
      <c r="U174" s="1" t="str">
        <f aca="false">IF($E174="","",$E174&amp;"|"&amp;T174)</f>
        <v>CERVICALES|66</v>
      </c>
    </row>
    <row r="175" customFormat="false" ht="15" hidden="false" customHeight="false" outlineLevel="0" collapsed="false">
      <c r="A175" s="21" t="s">
        <v>237</v>
      </c>
      <c r="B175" s="88" t="n">
        <v>46259</v>
      </c>
      <c r="C175" s="21" t="s">
        <v>60</v>
      </c>
      <c r="D175" s="21" t="s">
        <v>42</v>
      </c>
      <c r="E175" s="21" t="s">
        <v>62</v>
      </c>
      <c r="F175" s="70" t="n">
        <v>0.416666666666667</v>
      </c>
      <c r="G175" s="68" t="n">
        <v>965</v>
      </c>
      <c r="H175" s="68" t="n">
        <v>995</v>
      </c>
      <c r="I175" s="68" t="n">
        <v>965.15</v>
      </c>
      <c r="J175" s="68" t="n">
        <v>1024.85</v>
      </c>
      <c r="L175" s="21" t="s">
        <v>47</v>
      </c>
      <c r="M175" s="21" t="s">
        <v>47</v>
      </c>
      <c r="N175" s="21" t="s">
        <v>47</v>
      </c>
      <c r="O175" s="21" t="s">
        <v>47</v>
      </c>
      <c r="P175" s="21" t="s">
        <v>47</v>
      </c>
      <c r="T175" s="3" t="n">
        <f aca="false">IF($E175="","",COUNTIF($E$2:$E175,$E175))</f>
        <v>67</v>
      </c>
      <c r="U175" s="1" t="str">
        <f aca="false">IF($E175="","",$E175&amp;"|"&amp;T175)</f>
        <v>CERVICALES|67</v>
      </c>
    </row>
    <row r="176" customFormat="false" ht="15" hidden="false" customHeight="false" outlineLevel="0" collapsed="false">
      <c r="A176" s="21" t="s">
        <v>238</v>
      </c>
      <c r="B176" s="88" t="n">
        <v>46259</v>
      </c>
      <c r="C176" s="21" t="s">
        <v>60</v>
      </c>
      <c r="D176" s="21" t="s">
        <v>42</v>
      </c>
      <c r="E176" s="21" t="s">
        <v>187</v>
      </c>
      <c r="F176" s="70" t="n">
        <v>0.416666666666667</v>
      </c>
      <c r="G176" s="68" t="n">
        <v>770</v>
      </c>
      <c r="H176" s="68" t="n">
        <v>795</v>
      </c>
      <c r="I176" s="68" t="n">
        <v>771.15</v>
      </c>
      <c r="J176" s="68" t="n">
        <v>818.85</v>
      </c>
      <c r="L176" s="21" t="s">
        <v>47</v>
      </c>
      <c r="M176" s="21" t="s">
        <v>47</v>
      </c>
      <c r="N176" s="21" t="s">
        <v>47</v>
      </c>
      <c r="O176" s="21" t="s">
        <v>47</v>
      </c>
      <c r="P176" s="21" t="s">
        <v>47</v>
      </c>
      <c r="T176" s="3" t="n">
        <f aca="false">IF($E176="","",COUNTIF($E$2:$E176,$E176))</f>
        <v>11</v>
      </c>
      <c r="U176" s="1" t="str">
        <f aca="false">IF($E176="","",$E176&amp;"|"&amp;T176)</f>
        <v>PROMOS|11</v>
      </c>
    </row>
    <row r="177" customFormat="false" ht="15" hidden="false" customHeight="false" outlineLevel="0" collapsed="false">
      <c r="A177" s="21" t="s">
        <v>239</v>
      </c>
      <c r="B177" s="88" t="n">
        <v>46259</v>
      </c>
      <c r="C177" s="21" t="s">
        <v>60</v>
      </c>
      <c r="D177" s="21" t="s">
        <v>42</v>
      </c>
      <c r="E177" s="21" t="s">
        <v>187</v>
      </c>
      <c r="F177" s="70" t="n">
        <v>0.458333333333333</v>
      </c>
      <c r="G177" s="68" t="n">
        <v>770</v>
      </c>
      <c r="H177" s="68" t="n">
        <v>795</v>
      </c>
      <c r="I177" s="68" t="n">
        <v>771.15</v>
      </c>
      <c r="J177" s="68" t="n">
        <v>818.85</v>
      </c>
      <c r="L177" s="21" t="s">
        <v>47</v>
      </c>
      <c r="M177" s="21" t="s">
        <v>47</v>
      </c>
      <c r="N177" s="21" t="s">
        <v>47</v>
      </c>
      <c r="O177" s="21" t="s">
        <v>47</v>
      </c>
      <c r="P177" s="21" t="s">
        <v>47</v>
      </c>
      <c r="T177" s="3" t="n">
        <f aca="false">IF($E177="","",COUNTIF($E$2:$E177,$E177))</f>
        <v>12</v>
      </c>
      <c r="U177" s="1" t="str">
        <f aca="false">IF($E177="","",$E177&amp;"|"&amp;T177)</f>
        <v>PROMOS|12</v>
      </c>
    </row>
    <row r="178" customFormat="false" ht="15" hidden="false" customHeight="false" outlineLevel="0" collapsed="false">
      <c r="A178" s="21" t="s">
        <v>240</v>
      </c>
      <c r="B178" s="88" t="n">
        <v>46259</v>
      </c>
      <c r="C178" s="21" t="s">
        <v>60</v>
      </c>
      <c r="D178" s="21" t="s">
        <v>42</v>
      </c>
      <c r="E178" s="21" t="s">
        <v>7</v>
      </c>
      <c r="F178" s="70" t="n">
        <v>0.458333333333333</v>
      </c>
      <c r="G178" s="68" t="n">
        <v>980</v>
      </c>
      <c r="H178" s="68" t="n">
        <v>1008</v>
      </c>
      <c r="I178" s="68" t="n">
        <v>977.76</v>
      </c>
      <c r="J178" s="68" t="n">
        <v>1038.24</v>
      </c>
      <c r="L178" s="21" t="s">
        <v>47</v>
      </c>
      <c r="M178" s="21" t="s">
        <v>47</v>
      </c>
      <c r="N178" s="21" t="s">
        <v>47</v>
      </c>
      <c r="O178" s="21" t="s">
        <v>47</v>
      </c>
      <c r="P178" s="21" t="s">
        <v>47</v>
      </c>
      <c r="T178" s="3" t="n">
        <f aca="false">IF($E178="","",COUNTIF($E$2:$E178,$E178))</f>
        <v>74</v>
      </c>
      <c r="U178" s="1" t="str">
        <f aca="false">IF($E178="","",$E178&amp;"|"&amp;T178)</f>
        <v>CLÁSICAS|74</v>
      </c>
    </row>
    <row r="179" customFormat="false" ht="15" hidden="false" customHeight="false" outlineLevel="0" collapsed="false">
      <c r="A179" s="21" t="s">
        <v>241</v>
      </c>
      <c r="B179" s="88" t="n">
        <v>46259</v>
      </c>
      <c r="C179" s="21" t="s">
        <v>60</v>
      </c>
      <c r="D179" s="21" t="s">
        <v>42</v>
      </c>
      <c r="E179" s="21" t="s">
        <v>62</v>
      </c>
      <c r="F179" s="70" t="n">
        <v>0.458333333333333</v>
      </c>
      <c r="G179" s="68" t="n">
        <v>955</v>
      </c>
      <c r="H179" s="68" t="n">
        <v>995</v>
      </c>
      <c r="I179" s="68" t="n">
        <v>965.15</v>
      </c>
      <c r="J179" s="68" t="n">
        <v>1024.85</v>
      </c>
      <c r="L179" s="21" t="s">
        <v>47</v>
      </c>
      <c r="M179" s="21" t="s">
        <v>47</v>
      </c>
      <c r="N179" s="21" t="s">
        <v>47</v>
      </c>
      <c r="O179" s="21" t="s">
        <v>47</v>
      </c>
      <c r="P179" s="21" t="s">
        <v>47</v>
      </c>
      <c r="T179" s="3" t="n">
        <f aca="false">IF($E179="","",COUNTIF($E$2:$E179,$E179))</f>
        <v>68</v>
      </c>
      <c r="U179" s="1" t="str">
        <f aca="false">IF($E179="","",$E179&amp;"|"&amp;T179)</f>
        <v>CERVICALES|68</v>
      </c>
    </row>
    <row r="180" customFormat="false" ht="15" hidden="false" customHeight="false" outlineLevel="0" collapsed="false">
      <c r="A180" s="21" t="s">
        <v>242</v>
      </c>
      <c r="B180" s="88" t="n">
        <v>46259</v>
      </c>
      <c r="C180" s="21" t="s">
        <v>106</v>
      </c>
      <c r="D180" s="21" t="s">
        <v>42</v>
      </c>
      <c r="E180" s="21" t="s">
        <v>62</v>
      </c>
      <c r="F180" s="70" t="n">
        <v>0.5</v>
      </c>
      <c r="G180" s="68" t="n">
        <v>935</v>
      </c>
      <c r="H180" s="68" t="n">
        <v>995</v>
      </c>
      <c r="I180" s="68" t="n">
        <v>965.15</v>
      </c>
      <c r="J180" s="68" t="n">
        <v>1024.85</v>
      </c>
      <c r="L180" s="21" t="s">
        <v>47</v>
      </c>
      <c r="M180" s="21" t="s">
        <v>47</v>
      </c>
      <c r="N180" s="21" t="s">
        <v>47</v>
      </c>
      <c r="O180" s="21" t="s">
        <v>47</v>
      </c>
      <c r="P180" s="21" t="s">
        <v>47</v>
      </c>
      <c r="T180" s="3" t="n">
        <f aca="false">IF($E180="","",COUNTIF($E$2:$E180,$E180))</f>
        <v>69</v>
      </c>
      <c r="U180" s="1" t="str">
        <f aca="false">IF($E180="","",$E180&amp;"|"&amp;T180)</f>
        <v>CERVICALES|69</v>
      </c>
    </row>
    <row r="181" customFormat="false" ht="15" hidden="false" customHeight="false" outlineLevel="0" collapsed="false">
      <c r="A181" s="21" t="s">
        <v>243</v>
      </c>
      <c r="B181" s="88" t="n">
        <v>46259</v>
      </c>
      <c r="C181" s="21" t="s">
        <v>106</v>
      </c>
      <c r="D181" s="21" t="s">
        <v>42</v>
      </c>
      <c r="E181" s="21" t="s">
        <v>62</v>
      </c>
      <c r="F181" s="70" t="n">
        <v>0.541666666666667</v>
      </c>
      <c r="G181" s="68" t="n">
        <v>935</v>
      </c>
      <c r="H181" s="68" t="n">
        <v>995</v>
      </c>
      <c r="I181" s="68" t="n">
        <v>965.15</v>
      </c>
      <c r="J181" s="68" t="n">
        <v>1024.85</v>
      </c>
      <c r="L181" s="21" t="s">
        <v>47</v>
      </c>
      <c r="M181" s="21" t="s">
        <v>47</v>
      </c>
      <c r="N181" s="21" t="s">
        <v>47</v>
      </c>
      <c r="O181" s="21" t="s">
        <v>47</v>
      </c>
      <c r="P181" s="21" t="s">
        <v>47</v>
      </c>
      <c r="T181" s="3" t="n">
        <f aca="false">IF($E181="","",COUNTIF($E$2:$E181,$E181))</f>
        <v>70</v>
      </c>
      <c r="U181" s="1" t="str">
        <f aca="false">IF($E181="","",$E181&amp;"|"&amp;T181)</f>
        <v>CERVICALES|70</v>
      </c>
    </row>
    <row r="182" customFormat="false" ht="15" hidden="false" customHeight="false" outlineLevel="0" collapsed="false">
      <c r="A182" s="21" t="s">
        <v>244</v>
      </c>
      <c r="B182" s="88" t="n">
        <v>46259</v>
      </c>
      <c r="C182" s="21" t="s">
        <v>106</v>
      </c>
      <c r="D182" s="21" t="s">
        <v>42</v>
      </c>
      <c r="E182" s="21" t="s">
        <v>7</v>
      </c>
      <c r="F182" s="70" t="n">
        <v>0.5</v>
      </c>
      <c r="G182" s="68" t="n">
        <v>935</v>
      </c>
      <c r="H182" s="68" t="n">
        <v>1008</v>
      </c>
      <c r="I182" s="68" t="n">
        <v>977.76</v>
      </c>
      <c r="J182" s="68" t="n">
        <v>1038.24</v>
      </c>
      <c r="L182" s="21" t="s">
        <v>47</v>
      </c>
      <c r="M182" s="21" t="s">
        <v>47</v>
      </c>
      <c r="N182" s="21" t="s">
        <v>47</v>
      </c>
      <c r="O182" s="21" t="s">
        <v>47</v>
      </c>
      <c r="P182" s="21" t="s">
        <v>47</v>
      </c>
      <c r="T182" s="3" t="n">
        <f aca="false">IF($E182="","",COUNTIF($E$2:$E182,$E182))</f>
        <v>75</v>
      </c>
      <c r="U182" s="1" t="str">
        <f aca="false">IF($E182="","",$E182&amp;"|"&amp;T182)</f>
        <v>CLÁSICAS|75</v>
      </c>
    </row>
    <row r="183" customFormat="false" ht="15" hidden="false" customHeight="false" outlineLevel="0" collapsed="false">
      <c r="A183" s="21" t="s">
        <v>245</v>
      </c>
      <c r="B183" s="88" t="n">
        <v>46259</v>
      </c>
      <c r="C183" s="21" t="s">
        <v>106</v>
      </c>
      <c r="D183" s="21" t="s">
        <v>42</v>
      </c>
      <c r="E183" s="21" t="s">
        <v>7</v>
      </c>
      <c r="F183" s="70" t="n">
        <v>0.541666666666667</v>
      </c>
      <c r="G183" s="68" t="n">
        <v>935</v>
      </c>
      <c r="H183" s="68" t="n">
        <v>1008</v>
      </c>
      <c r="I183" s="68" t="n">
        <v>977.76</v>
      </c>
      <c r="J183" s="68" t="n">
        <v>1038.24</v>
      </c>
      <c r="L183" s="21" t="s">
        <v>47</v>
      </c>
      <c r="M183" s="21" t="s">
        <v>47</v>
      </c>
      <c r="N183" s="21" t="s">
        <v>47</v>
      </c>
      <c r="O183" s="21" t="s">
        <v>47</v>
      </c>
      <c r="P183" s="21" t="s">
        <v>47</v>
      </c>
      <c r="T183" s="3" t="n">
        <f aca="false">IF($E183="","",COUNTIF($E$2:$E183,$E183))</f>
        <v>76</v>
      </c>
      <c r="U183" s="1" t="str">
        <f aca="false">IF($E183="","",$E183&amp;"|"&amp;T183)</f>
        <v>CLÁSICAS|76</v>
      </c>
    </row>
    <row r="184" customFormat="false" ht="15" hidden="false" customHeight="false" outlineLevel="0" collapsed="false">
      <c r="A184" s="21" t="s">
        <v>246</v>
      </c>
      <c r="B184" s="88" t="n">
        <v>46260</v>
      </c>
      <c r="C184" s="21" t="s">
        <v>106</v>
      </c>
      <c r="D184" s="21" t="s">
        <v>42</v>
      </c>
      <c r="E184" s="21" t="s">
        <v>7</v>
      </c>
      <c r="F184" s="70" t="n">
        <v>0.25</v>
      </c>
      <c r="G184" s="68" t="n">
        <v>935</v>
      </c>
      <c r="H184" s="68" t="n">
        <v>1008</v>
      </c>
      <c r="I184" s="68" t="n">
        <v>977.76</v>
      </c>
      <c r="J184" s="68" t="n">
        <v>1038.24</v>
      </c>
      <c r="L184" s="21" t="s">
        <v>47</v>
      </c>
      <c r="M184" s="21" t="s">
        <v>47</v>
      </c>
      <c r="N184" s="21" t="s">
        <v>47</v>
      </c>
      <c r="O184" s="21" t="s">
        <v>47</v>
      </c>
      <c r="P184" s="21" t="s">
        <v>47</v>
      </c>
      <c r="T184" s="3" t="n">
        <f aca="false">IF($E184="","",COUNTIF($E$2:$E184,$E184))</f>
        <v>77</v>
      </c>
      <c r="U184" s="1" t="str">
        <f aca="false">IF($E184="","",$E184&amp;"|"&amp;T184)</f>
        <v>CLÁSICAS|77</v>
      </c>
    </row>
    <row r="185" customFormat="false" ht="15" hidden="false" customHeight="false" outlineLevel="0" collapsed="false">
      <c r="A185" s="21" t="s">
        <v>247</v>
      </c>
      <c r="B185" s="88" t="n">
        <v>46260</v>
      </c>
      <c r="C185" s="21" t="s">
        <v>106</v>
      </c>
      <c r="D185" s="21" t="s">
        <v>42</v>
      </c>
      <c r="E185" s="21" t="s">
        <v>62</v>
      </c>
      <c r="F185" s="70" t="n">
        <v>0.25</v>
      </c>
      <c r="G185" s="68" t="n">
        <v>920</v>
      </c>
      <c r="H185" s="68" t="n">
        <v>995</v>
      </c>
      <c r="I185" s="68" t="n">
        <v>965.15</v>
      </c>
      <c r="J185" s="68" t="n">
        <v>1024.85</v>
      </c>
      <c r="L185" s="21" t="s">
        <v>47</v>
      </c>
      <c r="M185" s="21" t="s">
        <v>47</v>
      </c>
      <c r="N185" s="21" t="s">
        <v>47</v>
      </c>
      <c r="O185" s="21" t="s">
        <v>47</v>
      </c>
      <c r="P185" s="21" t="s">
        <v>47</v>
      </c>
      <c r="T185" s="3" t="n">
        <f aca="false">IF($E185="","",COUNTIF($E$2:$E185,$E185))</f>
        <v>71</v>
      </c>
      <c r="U185" s="1" t="str">
        <f aca="false">IF($E185="","",$E185&amp;"|"&amp;T185)</f>
        <v>CERVICALES|71</v>
      </c>
    </row>
    <row r="186" customFormat="false" ht="15" hidden="false" customHeight="false" outlineLevel="0" collapsed="false">
      <c r="A186" s="21" t="s">
        <v>248</v>
      </c>
      <c r="B186" s="88" t="n">
        <v>46260</v>
      </c>
      <c r="C186" s="21" t="s">
        <v>106</v>
      </c>
      <c r="D186" s="21" t="s">
        <v>42</v>
      </c>
      <c r="E186" s="21" t="s">
        <v>62</v>
      </c>
      <c r="F186" s="70" t="n">
        <v>0.291666666666667</v>
      </c>
      <c r="G186" s="68" t="n">
        <v>920</v>
      </c>
      <c r="H186" s="68" t="n">
        <v>995</v>
      </c>
      <c r="I186" s="68" t="n">
        <v>965.15</v>
      </c>
      <c r="J186" s="68" t="n">
        <v>1024.85</v>
      </c>
      <c r="L186" s="21" t="s">
        <v>47</v>
      </c>
      <c r="M186" s="21" t="s">
        <v>47</v>
      </c>
      <c r="N186" s="21" t="s">
        <v>47</v>
      </c>
      <c r="O186" s="21" t="s">
        <v>47</v>
      </c>
      <c r="P186" s="21" t="s">
        <v>47</v>
      </c>
      <c r="T186" s="3" t="n">
        <f aca="false">IF($E186="","",COUNTIF($E$2:$E186,$E186))</f>
        <v>72</v>
      </c>
      <c r="U186" s="1" t="str">
        <f aca="false">IF($E186="","",$E186&amp;"|"&amp;T186)</f>
        <v>CERVICALES|72</v>
      </c>
    </row>
    <row r="187" customFormat="false" ht="15" hidden="false" customHeight="false" outlineLevel="0" collapsed="false">
      <c r="A187" s="21" t="s">
        <v>249</v>
      </c>
      <c r="B187" s="88" t="n">
        <v>46260</v>
      </c>
      <c r="C187" s="21" t="s">
        <v>106</v>
      </c>
      <c r="D187" s="21" t="s">
        <v>42</v>
      </c>
      <c r="E187" s="21" t="s">
        <v>7</v>
      </c>
      <c r="F187" s="70" t="n">
        <v>0.291666666666667</v>
      </c>
      <c r="G187" s="68" t="n">
        <v>940</v>
      </c>
      <c r="H187" s="68" t="n">
        <v>1008</v>
      </c>
      <c r="I187" s="68" t="n">
        <v>977.76</v>
      </c>
      <c r="J187" s="68" t="n">
        <v>1038.24</v>
      </c>
      <c r="L187" s="21" t="s">
        <v>47</v>
      </c>
      <c r="M187" s="21" t="s">
        <v>47</v>
      </c>
      <c r="N187" s="21" t="s">
        <v>47</v>
      </c>
      <c r="O187" s="21" t="s">
        <v>47</v>
      </c>
      <c r="P187" s="21" t="s">
        <v>47</v>
      </c>
      <c r="T187" s="3" t="n">
        <f aca="false">IF($E187="","",COUNTIF($E$2:$E187,$E187))</f>
        <v>78</v>
      </c>
      <c r="U187" s="1" t="str">
        <f aca="false">IF($E187="","",$E187&amp;"|"&amp;T187)</f>
        <v>CLÁSICAS|78</v>
      </c>
    </row>
    <row r="188" customFormat="false" ht="15" hidden="false" customHeight="false" outlineLevel="0" collapsed="false">
      <c r="A188" s="21" t="s">
        <v>250</v>
      </c>
      <c r="B188" s="88" t="n">
        <v>46260</v>
      </c>
      <c r="C188" s="21" t="s">
        <v>106</v>
      </c>
      <c r="D188" s="21" t="s">
        <v>42</v>
      </c>
      <c r="E188" s="21" t="s">
        <v>7</v>
      </c>
      <c r="F188" s="70" t="n">
        <v>0.333333333333333</v>
      </c>
      <c r="G188" s="68" t="n">
        <v>940</v>
      </c>
      <c r="H188" s="68" t="n">
        <v>1008</v>
      </c>
      <c r="I188" s="68" t="n">
        <v>977.76</v>
      </c>
      <c r="J188" s="68" t="n">
        <v>1038.24</v>
      </c>
      <c r="L188" s="21" t="s">
        <v>47</v>
      </c>
      <c r="M188" s="21" t="s">
        <v>47</v>
      </c>
      <c r="N188" s="21" t="s">
        <v>47</v>
      </c>
      <c r="O188" s="21" t="s">
        <v>47</v>
      </c>
      <c r="P188" s="21" t="s">
        <v>47</v>
      </c>
      <c r="T188" s="3" t="n">
        <f aca="false">IF($E188="","",COUNTIF($E$2:$E188,$E188))</f>
        <v>79</v>
      </c>
      <c r="U188" s="1" t="str">
        <f aca="false">IF($E188="","",$E188&amp;"|"&amp;T188)</f>
        <v>CLÁSICAS|79</v>
      </c>
    </row>
    <row r="189" customFormat="false" ht="15" hidden="false" customHeight="false" outlineLevel="0" collapsed="false">
      <c r="A189" s="21" t="s">
        <v>251</v>
      </c>
      <c r="B189" s="88" t="n">
        <v>46260</v>
      </c>
      <c r="C189" s="21" t="s">
        <v>106</v>
      </c>
      <c r="D189" s="21" t="s">
        <v>42</v>
      </c>
      <c r="E189" s="21" t="s">
        <v>62</v>
      </c>
      <c r="F189" s="70" t="n">
        <v>0.333333333333333</v>
      </c>
      <c r="G189" s="68" t="n">
        <v>925</v>
      </c>
      <c r="H189" s="68" t="n">
        <v>995</v>
      </c>
      <c r="I189" s="68" t="n">
        <v>965.15</v>
      </c>
      <c r="J189" s="68" t="n">
        <v>1024.85</v>
      </c>
      <c r="L189" s="21" t="s">
        <v>47</v>
      </c>
      <c r="M189" s="21" t="s">
        <v>47</v>
      </c>
      <c r="N189" s="21" t="s">
        <v>47</v>
      </c>
      <c r="O189" s="21" t="s">
        <v>47</v>
      </c>
      <c r="P189" s="21" t="s">
        <v>47</v>
      </c>
      <c r="T189" s="3" t="n">
        <f aca="false">IF($E189="","",COUNTIF($E$2:$E189,$E189))</f>
        <v>73</v>
      </c>
      <c r="U189" s="1" t="str">
        <f aca="false">IF($E189="","",$E189&amp;"|"&amp;T189)</f>
        <v>CERVICALES|73</v>
      </c>
    </row>
    <row r="190" customFormat="false" ht="15" hidden="false" customHeight="false" outlineLevel="0" collapsed="false">
      <c r="A190" s="21" t="s">
        <v>252</v>
      </c>
      <c r="B190" s="88" t="n">
        <v>46260</v>
      </c>
      <c r="C190" s="21" t="s">
        <v>106</v>
      </c>
      <c r="D190" s="21" t="s">
        <v>42</v>
      </c>
      <c r="E190" s="21" t="s">
        <v>62</v>
      </c>
      <c r="F190" s="70" t="n">
        <v>0.375</v>
      </c>
      <c r="G190" s="68" t="n">
        <v>925</v>
      </c>
      <c r="H190" s="68" t="n">
        <v>995</v>
      </c>
      <c r="I190" s="68" t="n">
        <v>965.15</v>
      </c>
      <c r="J190" s="68" t="n">
        <v>1024.85</v>
      </c>
      <c r="L190" s="21" t="s">
        <v>47</v>
      </c>
      <c r="M190" s="21" t="s">
        <v>47</v>
      </c>
      <c r="N190" s="21" t="s">
        <v>47</v>
      </c>
      <c r="O190" s="21" t="s">
        <v>47</v>
      </c>
      <c r="P190" s="21" t="s">
        <v>47</v>
      </c>
      <c r="T190" s="3" t="n">
        <f aca="false">IF($E190="","",COUNTIF($E$2:$E190,$E190))</f>
        <v>74</v>
      </c>
      <c r="U190" s="1" t="str">
        <f aca="false">IF($E190="","",$E190&amp;"|"&amp;T190)</f>
        <v>CERVICALES|74</v>
      </c>
    </row>
    <row r="191" customFormat="false" ht="15" hidden="false" customHeight="false" outlineLevel="0" collapsed="false">
      <c r="A191" s="21" t="s">
        <v>253</v>
      </c>
      <c r="B191" s="88" t="n">
        <v>46260</v>
      </c>
      <c r="C191" s="21" t="s">
        <v>106</v>
      </c>
      <c r="D191" s="21" t="s">
        <v>42</v>
      </c>
      <c r="E191" s="21" t="s">
        <v>7</v>
      </c>
      <c r="F191" s="70" t="n">
        <v>0.375</v>
      </c>
      <c r="G191" s="68" t="n">
        <v>960</v>
      </c>
      <c r="H191" s="68" t="n">
        <v>1008</v>
      </c>
      <c r="I191" s="68" t="n">
        <v>977.76</v>
      </c>
      <c r="J191" s="68" t="n">
        <v>1038.24</v>
      </c>
      <c r="L191" s="21" t="s">
        <v>47</v>
      </c>
      <c r="M191" s="21" t="s">
        <v>47</v>
      </c>
      <c r="N191" s="21" t="s">
        <v>47</v>
      </c>
      <c r="O191" s="21" t="s">
        <v>47</v>
      </c>
      <c r="P191" s="21" t="s">
        <v>47</v>
      </c>
      <c r="T191" s="3" t="n">
        <f aca="false">IF($E191="","",COUNTIF($E$2:$E191,$E191))</f>
        <v>80</v>
      </c>
      <c r="U191" s="1" t="str">
        <f aca="false">IF($E191="","",$E191&amp;"|"&amp;T191)</f>
        <v>CLÁSICAS|80</v>
      </c>
    </row>
    <row r="192" customFormat="false" ht="15" hidden="false" customHeight="false" outlineLevel="0" collapsed="false">
      <c r="A192" s="21" t="s">
        <v>254</v>
      </c>
      <c r="B192" s="88" t="n">
        <v>46260</v>
      </c>
      <c r="C192" s="21" t="s">
        <v>106</v>
      </c>
      <c r="D192" s="21" t="s">
        <v>42</v>
      </c>
      <c r="E192" s="21" t="s">
        <v>7</v>
      </c>
      <c r="F192" s="70" t="n">
        <v>0.416666666666667</v>
      </c>
      <c r="G192" s="68" t="n">
        <v>960</v>
      </c>
      <c r="H192" s="68" t="n">
        <v>1008</v>
      </c>
      <c r="I192" s="68" t="n">
        <v>977.76</v>
      </c>
      <c r="J192" s="68" t="n">
        <v>1038.24</v>
      </c>
      <c r="L192" s="21" t="s">
        <v>47</v>
      </c>
      <c r="M192" s="21" t="s">
        <v>47</v>
      </c>
      <c r="N192" s="21" t="s">
        <v>47</v>
      </c>
      <c r="O192" s="21" t="s">
        <v>47</v>
      </c>
      <c r="P192" s="21" t="s">
        <v>47</v>
      </c>
      <c r="T192" s="3" t="n">
        <f aca="false">IF($E192="","",COUNTIF($E$2:$E192,$E192))</f>
        <v>81</v>
      </c>
      <c r="U192" s="1" t="str">
        <f aca="false">IF($E192="","",$E192&amp;"|"&amp;T192)</f>
        <v>CLÁSICAS|81</v>
      </c>
    </row>
    <row r="193" customFormat="false" ht="15" hidden="false" customHeight="false" outlineLevel="0" collapsed="false">
      <c r="A193" s="21" t="s">
        <v>255</v>
      </c>
      <c r="B193" s="88" t="n">
        <v>46260</v>
      </c>
      <c r="C193" s="21" t="s">
        <v>106</v>
      </c>
      <c r="D193" s="21" t="s">
        <v>42</v>
      </c>
      <c r="E193" s="21" t="s">
        <v>62</v>
      </c>
      <c r="F193" s="70" t="n">
        <v>0.416666666666667</v>
      </c>
      <c r="G193" s="68" t="n">
        <v>935</v>
      </c>
      <c r="H193" s="68" t="n">
        <v>995</v>
      </c>
      <c r="I193" s="68" t="n">
        <v>965.15</v>
      </c>
      <c r="J193" s="68" t="n">
        <v>1024.85</v>
      </c>
      <c r="L193" s="21" t="s">
        <v>47</v>
      </c>
      <c r="M193" s="21" t="s">
        <v>47</v>
      </c>
      <c r="N193" s="21" t="s">
        <v>47</v>
      </c>
      <c r="O193" s="21" t="s">
        <v>47</v>
      </c>
      <c r="P193" s="21" t="s">
        <v>47</v>
      </c>
      <c r="T193" s="3" t="n">
        <f aca="false">IF($E193="","",COUNTIF($E$2:$E193,$E193))</f>
        <v>75</v>
      </c>
      <c r="U193" s="1" t="str">
        <f aca="false">IF($E193="","",$E193&amp;"|"&amp;T193)</f>
        <v>CERVICALES|75</v>
      </c>
    </row>
    <row r="194" customFormat="false" ht="15" hidden="false" customHeight="false" outlineLevel="0" collapsed="false">
      <c r="A194" s="21" t="s">
        <v>256</v>
      </c>
      <c r="B194" s="88" t="n">
        <v>46260</v>
      </c>
      <c r="C194" s="21" t="s">
        <v>106</v>
      </c>
      <c r="D194" s="21" t="s">
        <v>42</v>
      </c>
      <c r="E194" s="21" t="s">
        <v>62</v>
      </c>
      <c r="F194" s="70" t="n">
        <v>0.458333333333333</v>
      </c>
      <c r="G194" s="68" t="n">
        <v>935</v>
      </c>
      <c r="H194" s="68" t="n">
        <v>995</v>
      </c>
      <c r="I194" s="68" t="n">
        <v>965.15</v>
      </c>
      <c r="J194" s="68" t="n">
        <v>1024.85</v>
      </c>
      <c r="L194" s="21" t="s">
        <v>47</v>
      </c>
      <c r="M194" s="21" t="s">
        <v>47</v>
      </c>
      <c r="N194" s="21" t="s">
        <v>47</v>
      </c>
      <c r="O194" s="21" t="s">
        <v>47</v>
      </c>
      <c r="P194" s="21" t="s">
        <v>47</v>
      </c>
      <c r="T194" s="3" t="n">
        <f aca="false">IF($E194="","",COUNTIF($E$2:$E194,$E194))</f>
        <v>76</v>
      </c>
      <c r="U194" s="1" t="str">
        <f aca="false">IF($E194="","",$E194&amp;"|"&amp;T194)</f>
        <v>CERVICALES|76</v>
      </c>
    </row>
    <row r="195" customFormat="false" ht="15" hidden="false" customHeight="false" outlineLevel="0" collapsed="false">
      <c r="A195" s="21" t="s">
        <v>257</v>
      </c>
      <c r="B195" s="88" t="n">
        <v>46260</v>
      </c>
      <c r="C195" s="21" t="s">
        <v>106</v>
      </c>
      <c r="D195" s="21" t="s">
        <v>42</v>
      </c>
      <c r="E195" s="21" t="s">
        <v>7</v>
      </c>
      <c r="F195" s="70" t="n">
        <v>0.458333333333333</v>
      </c>
      <c r="G195" s="68" t="n">
        <v>935</v>
      </c>
      <c r="H195" s="68" t="n">
        <v>1008</v>
      </c>
      <c r="I195" s="68" t="n">
        <v>977.76</v>
      </c>
      <c r="J195" s="68" t="n">
        <v>1038.24</v>
      </c>
      <c r="L195" s="21" t="s">
        <v>47</v>
      </c>
      <c r="M195" s="21" t="s">
        <v>47</v>
      </c>
      <c r="N195" s="21" t="s">
        <v>47</v>
      </c>
      <c r="O195" s="21" t="s">
        <v>47</v>
      </c>
      <c r="P195" s="21" t="s">
        <v>47</v>
      </c>
      <c r="T195" s="3" t="n">
        <f aca="false">IF($E195="","",COUNTIF($E$2:$E195,$E195))</f>
        <v>82</v>
      </c>
      <c r="U195" s="1" t="str">
        <f aca="false">IF($E195="","",$E195&amp;"|"&amp;T195)</f>
        <v>CLÁSICAS|82</v>
      </c>
    </row>
    <row r="196" customFormat="false" ht="15" hidden="false" customHeight="false" outlineLevel="0" collapsed="false">
      <c r="A196" s="21" t="s">
        <v>258</v>
      </c>
      <c r="B196" s="88" t="n">
        <v>46265</v>
      </c>
      <c r="C196" s="21" t="s">
        <v>60</v>
      </c>
      <c r="D196" s="21" t="s">
        <v>42</v>
      </c>
      <c r="E196" s="21" t="s">
        <v>7</v>
      </c>
      <c r="F196" s="70" t="n">
        <v>0.25</v>
      </c>
      <c r="G196" s="68" t="n">
        <v>935</v>
      </c>
      <c r="H196" s="68" t="n">
        <v>1008</v>
      </c>
      <c r="I196" s="68" t="n">
        <v>977.76</v>
      </c>
      <c r="J196" s="68" t="n">
        <v>1038.24</v>
      </c>
      <c r="L196" s="21" t="s">
        <v>47</v>
      </c>
      <c r="M196" s="21" t="s">
        <v>47</v>
      </c>
      <c r="N196" s="21" t="s">
        <v>47</v>
      </c>
      <c r="O196" s="21" t="s">
        <v>47</v>
      </c>
      <c r="P196" s="21" t="s">
        <v>47</v>
      </c>
      <c r="T196" s="3" t="n">
        <f aca="false">IF($E196="","",COUNTIF($E$2:$E196,$E196))</f>
        <v>83</v>
      </c>
      <c r="U196" s="1" t="str">
        <f aca="false">IF($E196="","",$E196&amp;"|"&amp;T196)</f>
        <v>CLÁSICAS|83</v>
      </c>
    </row>
    <row r="197" customFormat="false" ht="15" hidden="false" customHeight="false" outlineLevel="0" collapsed="false">
      <c r="A197" s="21" t="s">
        <v>259</v>
      </c>
      <c r="B197" s="88" t="n">
        <v>46265</v>
      </c>
      <c r="C197" s="21" t="s">
        <v>60</v>
      </c>
      <c r="D197" s="21" t="s">
        <v>42</v>
      </c>
      <c r="E197" s="21" t="s">
        <v>62</v>
      </c>
      <c r="F197" s="70" t="n">
        <v>0.25</v>
      </c>
      <c r="G197" s="68" t="n">
        <v>920</v>
      </c>
      <c r="H197" s="68" t="n">
        <v>995</v>
      </c>
      <c r="I197" s="68" t="n">
        <v>965.15</v>
      </c>
      <c r="J197" s="68" t="n">
        <v>1024.85</v>
      </c>
      <c r="L197" s="21" t="s">
        <v>47</v>
      </c>
      <c r="M197" s="21" t="s">
        <v>47</v>
      </c>
      <c r="N197" s="21" t="s">
        <v>47</v>
      </c>
      <c r="O197" s="21" t="s">
        <v>47</v>
      </c>
      <c r="P197" s="21" t="s">
        <v>47</v>
      </c>
      <c r="T197" s="3" t="n">
        <f aca="false">IF($E197="","",COUNTIF($E$2:$E197,$E197))</f>
        <v>77</v>
      </c>
      <c r="U197" s="1" t="str">
        <f aca="false">IF($E197="","",$E197&amp;"|"&amp;T197)</f>
        <v>CERVICALES|77</v>
      </c>
    </row>
    <row r="198" customFormat="false" ht="15" hidden="false" customHeight="false" outlineLevel="0" collapsed="false">
      <c r="A198" s="21" t="s">
        <v>260</v>
      </c>
      <c r="B198" s="88" t="n">
        <v>46265</v>
      </c>
      <c r="C198" s="21" t="s">
        <v>60</v>
      </c>
      <c r="D198" s="21" t="s">
        <v>42</v>
      </c>
      <c r="E198" s="21" t="s">
        <v>62</v>
      </c>
      <c r="F198" s="70" t="n">
        <v>0.291666666666667</v>
      </c>
      <c r="G198" s="68" t="n">
        <v>935</v>
      </c>
      <c r="H198" s="68" t="n">
        <v>995</v>
      </c>
      <c r="I198" s="68" t="n">
        <v>965.15</v>
      </c>
      <c r="J198" s="68" t="n">
        <v>1024.85</v>
      </c>
      <c r="L198" s="21" t="s">
        <v>47</v>
      </c>
      <c r="M198" s="21" t="s">
        <v>47</v>
      </c>
      <c r="N198" s="21" t="s">
        <v>47</v>
      </c>
      <c r="O198" s="21" t="s">
        <v>47</v>
      </c>
      <c r="P198" s="21" t="s">
        <v>47</v>
      </c>
      <c r="T198" s="3" t="n">
        <f aca="false">IF($E198="","",COUNTIF($E$2:$E198,$E198))</f>
        <v>78</v>
      </c>
      <c r="U198" s="1" t="str">
        <f aca="false">IF($E198="","",$E198&amp;"|"&amp;T198)</f>
        <v>CERVICALES|78</v>
      </c>
    </row>
    <row r="199" customFormat="false" ht="15" hidden="false" customHeight="false" outlineLevel="0" collapsed="false">
      <c r="A199" s="21" t="s">
        <v>261</v>
      </c>
      <c r="B199" s="88" t="n">
        <v>46265</v>
      </c>
      <c r="C199" s="21" t="s">
        <v>60</v>
      </c>
      <c r="D199" s="21" t="s">
        <v>42</v>
      </c>
      <c r="E199" s="21" t="s">
        <v>7</v>
      </c>
      <c r="F199" s="70" t="n">
        <v>0.291666666666667</v>
      </c>
      <c r="G199" s="68" t="n">
        <v>955</v>
      </c>
      <c r="H199" s="68" t="n">
        <v>1008</v>
      </c>
      <c r="I199" s="68" t="n">
        <v>977.76</v>
      </c>
      <c r="J199" s="68" t="n">
        <v>1038.24</v>
      </c>
      <c r="L199" s="21" t="s">
        <v>47</v>
      </c>
      <c r="M199" s="21" t="s">
        <v>47</v>
      </c>
      <c r="N199" s="21" t="s">
        <v>47</v>
      </c>
      <c r="O199" s="21" t="s">
        <v>47</v>
      </c>
      <c r="P199" s="21" t="s">
        <v>47</v>
      </c>
      <c r="T199" s="3" t="n">
        <f aca="false">IF($E199="","",COUNTIF($E$2:$E199,$E199))</f>
        <v>84</v>
      </c>
      <c r="U199" s="1" t="str">
        <f aca="false">IF($E199="","",$E199&amp;"|"&amp;T199)</f>
        <v>CLÁSICAS|84</v>
      </c>
    </row>
    <row r="200" customFormat="false" ht="15" hidden="false" customHeight="false" outlineLevel="0" collapsed="false">
      <c r="A200" s="21" t="s">
        <v>262</v>
      </c>
      <c r="B200" s="88" t="n">
        <v>46265</v>
      </c>
      <c r="C200" s="21" t="s">
        <v>60</v>
      </c>
      <c r="D200" s="21" t="s">
        <v>42</v>
      </c>
      <c r="E200" s="21" t="s">
        <v>7</v>
      </c>
      <c r="F200" s="70" t="n">
        <v>0.333333333333333</v>
      </c>
      <c r="G200" s="68" t="n">
        <v>955</v>
      </c>
      <c r="H200" s="68" t="n">
        <v>1008</v>
      </c>
      <c r="I200" s="68" t="n">
        <v>977.76</v>
      </c>
      <c r="J200" s="68" t="n">
        <v>1038.24</v>
      </c>
      <c r="L200" s="21" t="s">
        <v>47</v>
      </c>
      <c r="M200" s="21" t="s">
        <v>47</v>
      </c>
      <c r="N200" s="21" t="s">
        <v>47</v>
      </c>
      <c r="O200" s="21" t="s">
        <v>47</v>
      </c>
      <c r="P200" s="21" t="s">
        <v>47</v>
      </c>
      <c r="T200" s="3" t="n">
        <f aca="false">IF($E200="","",COUNTIF($E$2:$E200,$E200))</f>
        <v>85</v>
      </c>
      <c r="U200" s="1" t="str">
        <f aca="false">IF($E200="","",$E200&amp;"|"&amp;T200)</f>
        <v>CLÁSICAS|85</v>
      </c>
    </row>
    <row r="201" customFormat="false" ht="15" hidden="false" customHeight="false" outlineLevel="0" collapsed="false">
      <c r="A201" s="21" t="s">
        <v>263</v>
      </c>
      <c r="B201" s="88" t="n">
        <v>46265</v>
      </c>
      <c r="C201" s="21" t="s">
        <v>60</v>
      </c>
      <c r="D201" s="21" t="s">
        <v>42</v>
      </c>
      <c r="E201" s="21" t="s">
        <v>62</v>
      </c>
      <c r="F201" s="70" t="n">
        <v>0.333333333333333</v>
      </c>
      <c r="G201" s="68" t="n">
        <v>940</v>
      </c>
      <c r="H201" s="68" t="n">
        <v>995</v>
      </c>
      <c r="I201" s="68" t="n">
        <v>965.15</v>
      </c>
      <c r="J201" s="68" t="n">
        <v>1024.85</v>
      </c>
      <c r="L201" s="21" t="s">
        <v>47</v>
      </c>
      <c r="M201" s="21" t="s">
        <v>47</v>
      </c>
      <c r="N201" s="21" t="s">
        <v>47</v>
      </c>
      <c r="O201" s="21" t="s">
        <v>47</v>
      </c>
      <c r="P201" s="21" t="s">
        <v>47</v>
      </c>
      <c r="T201" s="3" t="n">
        <f aca="false">IF($E201="","",COUNTIF($E$2:$E201,$E201))</f>
        <v>79</v>
      </c>
      <c r="U201" s="1" t="str">
        <f aca="false">IF($E201="","",$E201&amp;"|"&amp;T201)</f>
        <v>CERVICALES|79</v>
      </c>
    </row>
    <row r="202" customFormat="false" ht="15" hidden="false" customHeight="false" outlineLevel="0" collapsed="false">
      <c r="A202" s="21" t="s">
        <v>264</v>
      </c>
      <c r="B202" s="88" t="n">
        <v>46265</v>
      </c>
      <c r="C202" s="21" t="s">
        <v>60</v>
      </c>
      <c r="D202" s="21" t="s">
        <v>42</v>
      </c>
      <c r="E202" s="21" t="s">
        <v>62</v>
      </c>
      <c r="F202" s="70" t="n">
        <v>0.375</v>
      </c>
      <c r="G202" s="68" t="n">
        <v>940</v>
      </c>
      <c r="H202" s="68" t="n">
        <v>995</v>
      </c>
      <c r="I202" s="68" t="n">
        <v>965.15</v>
      </c>
      <c r="J202" s="68" t="n">
        <v>1024.85</v>
      </c>
      <c r="L202" s="21" t="s">
        <v>47</v>
      </c>
      <c r="M202" s="21" t="s">
        <v>47</v>
      </c>
      <c r="N202" s="21" t="s">
        <v>47</v>
      </c>
      <c r="O202" s="21" t="s">
        <v>47</v>
      </c>
      <c r="P202" s="21" t="s">
        <v>47</v>
      </c>
      <c r="T202" s="3" t="n">
        <f aca="false">IF($E202="","",COUNTIF($E$2:$E202,$E202))</f>
        <v>80</v>
      </c>
      <c r="U202" s="1" t="str">
        <f aca="false">IF($E202="","",$E202&amp;"|"&amp;T202)</f>
        <v>CERVICALES|80</v>
      </c>
    </row>
    <row r="203" customFormat="false" ht="15" hidden="false" customHeight="false" outlineLevel="0" collapsed="false">
      <c r="A203" s="21" t="s">
        <v>265</v>
      </c>
      <c r="B203" s="88" t="n">
        <v>46265</v>
      </c>
      <c r="C203" s="21" t="s">
        <v>60</v>
      </c>
      <c r="D203" s="21" t="s">
        <v>42</v>
      </c>
      <c r="E203" s="21" t="s">
        <v>7</v>
      </c>
      <c r="F203" s="70" t="n">
        <v>0.375</v>
      </c>
      <c r="G203" s="68" t="n">
        <v>955</v>
      </c>
      <c r="H203" s="68" t="n">
        <v>1008</v>
      </c>
      <c r="I203" s="68" t="n">
        <v>977.76</v>
      </c>
      <c r="J203" s="68" t="n">
        <v>1038.24</v>
      </c>
      <c r="L203" s="21" t="s">
        <v>47</v>
      </c>
      <c r="M203" s="21" t="s">
        <v>47</v>
      </c>
      <c r="N203" s="21" t="s">
        <v>47</v>
      </c>
      <c r="O203" s="21" t="s">
        <v>47</v>
      </c>
      <c r="P203" s="21" t="s">
        <v>47</v>
      </c>
      <c r="T203" s="3" t="n">
        <f aca="false">IF($E203="","",COUNTIF($E$2:$E203,$E203))</f>
        <v>86</v>
      </c>
      <c r="U203" s="1" t="str">
        <f aca="false">IF($E203="","",$E203&amp;"|"&amp;T203)</f>
        <v>CLÁSICAS|86</v>
      </c>
    </row>
    <row r="204" customFormat="false" ht="15" hidden="false" customHeight="false" outlineLevel="0" collapsed="false">
      <c r="A204" s="21" t="s">
        <v>266</v>
      </c>
      <c r="B204" s="88" t="n">
        <v>46265</v>
      </c>
      <c r="C204" s="21" t="s">
        <v>60</v>
      </c>
      <c r="D204" s="21" t="s">
        <v>42</v>
      </c>
      <c r="E204" s="21" t="s">
        <v>7</v>
      </c>
      <c r="F204" s="70" t="n">
        <v>0.416666666666667</v>
      </c>
      <c r="G204" s="68" t="n">
        <v>955</v>
      </c>
      <c r="H204" s="68" t="n">
        <v>1008</v>
      </c>
      <c r="I204" s="68" t="n">
        <v>977.76</v>
      </c>
      <c r="J204" s="68" t="n">
        <v>1038.24</v>
      </c>
      <c r="L204" s="21" t="s">
        <v>47</v>
      </c>
      <c r="M204" s="21" t="s">
        <v>47</v>
      </c>
      <c r="N204" s="21" t="s">
        <v>47</v>
      </c>
      <c r="O204" s="21" t="s">
        <v>47</v>
      </c>
      <c r="P204" s="21" t="s">
        <v>47</v>
      </c>
      <c r="T204" s="3" t="n">
        <f aca="false">IF($E204="","",COUNTIF($E$2:$E204,$E204))</f>
        <v>87</v>
      </c>
      <c r="U204" s="1" t="str">
        <f aca="false">IF($E204="","",$E204&amp;"|"&amp;T204)</f>
        <v>CLÁSICAS|87</v>
      </c>
    </row>
    <row r="205" customFormat="false" ht="15" hidden="false" customHeight="false" outlineLevel="0" collapsed="false">
      <c r="A205" s="21" t="s">
        <v>267</v>
      </c>
      <c r="B205" s="88" t="n">
        <v>46265</v>
      </c>
      <c r="C205" s="21" t="s">
        <v>60</v>
      </c>
      <c r="D205" s="21" t="s">
        <v>42</v>
      </c>
      <c r="E205" s="21" t="s">
        <v>62</v>
      </c>
      <c r="F205" s="70" t="n">
        <v>0.416666666666667</v>
      </c>
      <c r="G205" s="68" t="n">
        <v>940</v>
      </c>
      <c r="H205" s="68" t="n">
        <v>995</v>
      </c>
      <c r="I205" s="68" t="n">
        <v>965.15</v>
      </c>
      <c r="J205" s="68" t="n">
        <v>1024.85</v>
      </c>
      <c r="L205" s="21" t="s">
        <v>47</v>
      </c>
      <c r="M205" s="21" t="s">
        <v>47</v>
      </c>
      <c r="N205" s="21" t="s">
        <v>47</v>
      </c>
      <c r="O205" s="21" t="s">
        <v>47</v>
      </c>
      <c r="P205" s="21" t="s">
        <v>47</v>
      </c>
      <c r="T205" s="3" t="n">
        <f aca="false">IF($E205="","",COUNTIF($E$2:$E205,$E205))</f>
        <v>81</v>
      </c>
      <c r="U205" s="1" t="str">
        <f aca="false">IF($E205="","",$E205&amp;"|"&amp;T205)</f>
        <v>CERVICALES|81</v>
      </c>
    </row>
    <row r="206" customFormat="false" ht="15" hidden="false" customHeight="false" outlineLevel="0" collapsed="false">
      <c r="A206" s="21" t="s">
        <v>268</v>
      </c>
      <c r="B206" s="88" t="n">
        <v>46265</v>
      </c>
      <c r="C206" s="21" t="s">
        <v>60</v>
      </c>
      <c r="D206" s="21" t="s">
        <v>42</v>
      </c>
      <c r="E206" s="21" t="s">
        <v>62</v>
      </c>
      <c r="F206" s="70" t="n">
        <v>0.458333333333333</v>
      </c>
      <c r="G206" s="68" t="n">
        <v>940</v>
      </c>
      <c r="H206" s="68" t="n">
        <v>995</v>
      </c>
      <c r="I206" s="68" t="n">
        <v>965.15</v>
      </c>
      <c r="J206" s="68" t="n">
        <v>1024.85</v>
      </c>
      <c r="L206" s="21" t="s">
        <v>47</v>
      </c>
      <c r="M206" s="21" t="s">
        <v>47</v>
      </c>
      <c r="N206" s="21" t="s">
        <v>47</v>
      </c>
      <c r="O206" s="21" t="s">
        <v>47</v>
      </c>
      <c r="P206" s="21" t="s">
        <v>47</v>
      </c>
      <c r="T206" s="3" t="n">
        <f aca="false">IF($E206="","",COUNTIF($E$2:$E206,$E206))</f>
        <v>82</v>
      </c>
      <c r="U206" s="1" t="str">
        <f aca="false">IF($E206="","",$E206&amp;"|"&amp;T206)</f>
        <v>CERVICALES|82</v>
      </c>
    </row>
    <row r="207" customFormat="false" ht="15" hidden="false" customHeight="false" outlineLevel="0" collapsed="false">
      <c r="A207" s="21" t="s">
        <v>269</v>
      </c>
      <c r="B207" s="88" t="n">
        <v>46265</v>
      </c>
      <c r="C207" s="21" t="s">
        <v>60</v>
      </c>
      <c r="D207" s="21" t="s">
        <v>42</v>
      </c>
      <c r="E207" s="21" t="s">
        <v>7</v>
      </c>
      <c r="F207" s="70" t="n">
        <v>0.458333333333333</v>
      </c>
      <c r="G207" s="68" t="n">
        <v>960</v>
      </c>
      <c r="H207" s="68" t="n">
        <v>1008</v>
      </c>
      <c r="I207" s="68" t="n">
        <v>977.76</v>
      </c>
      <c r="J207" s="68" t="n">
        <v>1038.24</v>
      </c>
      <c r="L207" s="21" t="s">
        <v>47</v>
      </c>
      <c r="M207" s="21" t="s">
        <v>47</v>
      </c>
      <c r="N207" s="21" t="s">
        <v>47</v>
      </c>
      <c r="O207" s="21" t="s">
        <v>47</v>
      </c>
      <c r="P207" s="21" t="s">
        <v>47</v>
      </c>
      <c r="T207" s="3" t="n">
        <f aca="false">IF($E207="","",COUNTIF($E$2:$E207,$E207))</f>
        <v>88</v>
      </c>
      <c r="U207" s="1" t="str">
        <f aca="false">IF($E207="","",$E207&amp;"|"&amp;T207)</f>
        <v>CLÁSICAS|88</v>
      </c>
    </row>
    <row r="208" customFormat="false" ht="15" hidden="false" customHeight="false" outlineLevel="0" collapsed="false">
      <c r="A208" s="21" t="s">
        <v>270</v>
      </c>
      <c r="B208" s="88" t="n">
        <v>46265</v>
      </c>
      <c r="C208" s="21" t="s">
        <v>106</v>
      </c>
      <c r="D208" s="21" t="s">
        <v>42</v>
      </c>
      <c r="E208" s="21" t="s">
        <v>7</v>
      </c>
      <c r="F208" s="70" t="n">
        <v>0.5</v>
      </c>
      <c r="G208" s="68" t="n">
        <v>960</v>
      </c>
      <c r="H208" s="68" t="n">
        <v>1008</v>
      </c>
      <c r="I208" s="68" t="n">
        <v>977.76</v>
      </c>
      <c r="J208" s="68" t="n">
        <v>1038.24</v>
      </c>
      <c r="L208" s="21" t="s">
        <v>47</v>
      </c>
      <c r="M208" s="21" t="s">
        <v>47</v>
      </c>
      <c r="N208" s="21" t="s">
        <v>47</v>
      </c>
      <c r="O208" s="21" t="s">
        <v>47</v>
      </c>
      <c r="P208" s="21" t="s">
        <v>47</v>
      </c>
      <c r="T208" s="3" t="n">
        <f aca="false">IF($E208="","",COUNTIF($E$2:$E208,$E208))</f>
        <v>89</v>
      </c>
      <c r="U208" s="1" t="str">
        <f aca="false">IF($E208="","",$E208&amp;"|"&amp;T208)</f>
        <v>CLÁSICAS|89</v>
      </c>
    </row>
    <row r="209" customFormat="false" ht="15" hidden="false" customHeight="false" outlineLevel="0" collapsed="false">
      <c r="A209" s="21" t="s">
        <v>271</v>
      </c>
      <c r="B209" s="88" t="n">
        <v>46265</v>
      </c>
      <c r="C209" s="21" t="s">
        <v>106</v>
      </c>
      <c r="D209" s="21" t="s">
        <v>42</v>
      </c>
      <c r="E209" s="21" t="s">
        <v>62</v>
      </c>
      <c r="F209" s="70" t="n">
        <v>0.5</v>
      </c>
      <c r="G209" s="68" t="n">
        <v>960</v>
      </c>
      <c r="H209" s="68" t="n">
        <v>995</v>
      </c>
      <c r="I209" s="68" t="n">
        <v>965.15</v>
      </c>
      <c r="J209" s="68" t="n">
        <v>1024.85</v>
      </c>
      <c r="L209" s="21" t="s">
        <v>47</v>
      </c>
      <c r="M209" s="21" t="s">
        <v>47</v>
      </c>
      <c r="N209" s="21" t="s">
        <v>47</v>
      </c>
      <c r="O209" s="21" t="s">
        <v>47</v>
      </c>
      <c r="P209" s="21" t="s">
        <v>47</v>
      </c>
      <c r="T209" s="3" t="n">
        <f aca="false">IF($E209="","",COUNTIF($E$2:$E209,$E209))</f>
        <v>83</v>
      </c>
      <c r="U209" s="1" t="str">
        <f aca="false">IF($E209="","",$E209&amp;"|"&amp;T209)</f>
        <v>CERVICALES|83</v>
      </c>
    </row>
    <row r="210" customFormat="false" ht="15" hidden="false" customHeight="false" outlineLevel="0" collapsed="false">
      <c r="A210" s="21" t="s">
        <v>272</v>
      </c>
      <c r="B210" s="88" t="n">
        <v>46265</v>
      </c>
      <c r="C210" s="21" t="s">
        <v>106</v>
      </c>
      <c r="D210" s="21" t="s">
        <v>42</v>
      </c>
      <c r="E210" s="21" t="s">
        <v>62</v>
      </c>
      <c r="F210" s="70" t="n">
        <v>0.541666666666667</v>
      </c>
      <c r="G210" s="68" t="n">
        <v>960</v>
      </c>
      <c r="H210" s="68" t="n">
        <v>995</v>
      </c>
      <c r="I210" s="68" t="n">
        <v>965.15</v>
      </c>
      <c r="J210" s="68" t="n">
        <v>1024.85</v>
      </c>
      <c r="L210" s="21" t="s">
        <v>47</v>
      </c>
      <c r="M210" s="21" t="s">
        <v>47</v>
      </c>
      <c r="N210" s="21" t="s">
        <v>47</v>
      </c>
      <c r="O210" s="21" t="s">
        <v>47</v>
      </c>
      <c r="P210" s="21" t="s">
        <v>47</v>
      </c>
      <c r="T210" s="3" t="n">
        <f aca="false">IF($E210="","",COUNTIF($E$2:$E210,$E210))</f>
        <v>84</v>
      </c>
      <c r="U210" s="1" t="str">
        <f aca="false">IF($E210="","",$E210&amp;"|"&amp;T210)</f>
        <v>CERVICALES|84</v>
      </c>
    </row>
    <row r="211" customFormat="false" ht="15" hidden="false" customHeight="false" outlineLevel="0" collapsed="false">
      <c r="A211" s="21" t="s">
        <v>273</v>
      </c>
      <c r="B211" s="88" t="n">
        <v>46265</v>
      </c>
      <c r="C211" s="21" t="s">
        <v>106</v>
      </c>
      <c r="D211" s="21" t="s">
        <v>42</v>
      </c>
      <c r="E211" s="21" t="s">
        <v>7</v>
      </c>
      <c r="F211" s="70" t="n">
        <v>0.541666666666667</v>
      </c>
      <c r="G211" s="68" t="n">
        <v>960</v>
      </c>
      <c r="H211" s="68" t="n">
        <v>1008</v>
      </c>
      <c r="I211" s="68" t="n">
        <v>977.76</v>
      </c>
      <c r="J211" s="68" t="n">
        <v>1038.24</v>
      </c>
      <c r="L211" s="21" t="s">
        <v>47</v>
      </c>
      <c r="M211" s="21" t="s">
        <v>47</v>
      </c>
      <c r="N211" s="21" t="s">
        <v>47</v>
      </c>
      <c r="O211" s="21" t="s">
        <v>47</v>
      </c>
      <c r="P211" s="21" t="s">
        <v>47</v>
      </c>
      <c r="T211" s="3" t="n">
        <f aca="false">IF($E211="","",COUNTIF($E$2:$E211,$E211))</f>
        <v>90</v>
      </c>
      <c r="U211" s="1" t="str">
        <f aca="false">IF($E211="","",$E211&amp;"|"&amp;T211)</f>
        <v>CLÁSICAS|90</v>
      </c>
    </row>
    <row r="212" customFormat="false" ht="15" hidden="false" customHeight="false" outlineLevel="0" collapsed="false">
      <c r="A212" s="21" t="s">
        <v>274</v>
      </c>
      <c r="B212" s="88" t="n">
        <v>46266</v>
      </c>
      <c r="C212" s="21" t="s">
        <v>106</v>
      </c>
      <c r="D212" s="21" t="s">
        <v>42</v>
      </c>
      <c r="E212" s="21" t="s">
        <v>62</v>
      </c>
      <c r="F212" s="70" t="n">
        <v>0.25</v>
      </c>
      <c r="G212" s="68" t="n">
        <v>960</v>
      </c>
      <c r="H212" s="68" t="n">
        <v>995</v>
      </c>
      <c r="I212" s="68" t="n">
        <v>965.15</v>
      </c>
      <c r="J212" s="68" t="n">
        <v>1024.85</v>
      </c>
      <c r="L212" s="21" t="s">
        <v>47</v>
      </c>
      <c r="M212" s="21" t="s">
        <v>47</v>
      </c>
      <c r="N212" s="21" t="s">
        <v>47</v>
      </c>
      <c r="O212" s="21" t="s">
        <v>47</v>
      </c>
      <c r="P212" s="21" t="s">
        <v>47</v>
      </c>
      <c r="T212" s="3" t="n">
        <f aca="false">IF($E212="","",COUNTIF($E$2:$E212,$E212))</f>
        <v>85</v>
      </c>
      <c r="U212" s="1" t="str">
        <f aca="false">IF($E212="","",$E212&amp;"|"&amp;T212)</f>
        <v>CERVICALES|85</v>
      </c>
    </row>
    <row r="213" customFormat="false" ht="15" hidden="false" customHeight="false" outlineLevel="0" collapsed="false">
      <c r="A213" s="21" t="s">
        <v>275</v>
      </c>
      <c r="B213" s="88" t="n">
        <v>46266</v>
      </c>
      <c r="C213" s="21" t="s">
        <v>106</v>
      </c>
      <c r="D213" s="21" t="s">
        <v>42</v>
      </c>
      <c r="E213" s="21" t="s">
        <v>7</v>
      </c>
      <c r="F213" s="70" t="n">
        <v>0.25</v>
      </c>
      <c r="G213" s="68" t="n">
        <v>965</v>
      </c>
      <c r="H213" s="68" t="n">
        <v>1008</v>
      </c>
      <c r="I213" s="68" t="n">
        <v>977.76</v>
      </c>
      <c r="J213" s="68" t="n">
        <v>1038.24</v>
      </c>
      <c r="L213" s="21" t="s">
        <v>47</v>
      </c>
      <c r="M213" s="21" t="s">
        <v>47</v>
      </c>
      <c r="N213" s="21" t="s">
        <v>47</v>
      </c>
      <c r="O213" s="21" t="s">
        <v>47</v>
      </c>
      <c r="P213" s="21" t="s">
        <v>47</v>
      </c>
      <c r="T213" s="3" t="n">
        <f aca="false">IF($E213="","",COUNTIF($E$2:$E213,$E213))</f>
        <v>91</v>
      </c>
      <c r="U213" s="1" t="str">
        <f aca="false">IF($E213="","",$E213&amp;"|"&amp;T213)</f>
        <v>CLÁSICAS|91</v>
      </c>
    </row>
    <row r="214" customFormat="false" ht="15" hidden="false" customHeight="false" outlineLevel="0" collapsed="false">
      <c r="A214" s="21" t="s">
        <v>276</v>
      </c>
      <c r="B214" s="88" t="n">
        <v>46266</v>
      </c>
      <c r="C214" s="21" t="s">
        <v>106</v>
      </c>
      <c r="D214" s="21" t="s">
        <v>42</v>
      </c>
      <c r="E214" s="21" t="s">
        <v>7</v>
      </c>
      <c r="F214" s="70" t="n">
        <v>0.291666666666667</v>
      </c>
      <c r="G214" s="68" t="n">
        <v>960</v>
      </c>
      <c r="H214" s="68" t="n">
        <v>1008</v>
      </c>
      <c r="I214" s="68" t="n">
        <v>977.76</v>
      </c>
      <c r="J214" s="68" t="n">
        <v>1038.24</v>
      </c>
      <c r="L214" s="21" t="s">
        <v>47</v>
      </c>
      <c r="M214" s="21" t="s">
        <v>47</v>
      </c>
      <c r="N214" s="21" t="s">
        <v>47</v>
      </c>
      <c r="O214" s="21" t="s">
        <v>47</v>
      </c>
      <c r="P214" s="21" t="s">
        <v>47</v>
      </c>
      <c r="T214" s="3" t="n">
        <f aca="false">IF($E214="","",COUNTIF($E$2:$E214,$E214))</f>
        <v>92</v>
      </c>
      <c r="U214" s="1" t="str">
        <f aca="false">IF($E214="","",$E214&amp;"|"&amp;T214)</f>
        <v>CLÁSICAS|92</v>
      </c>
    </row>
    <row r="215" customFormat="false" ht="15" hidden="false" customHeight="false" outlineLevel="0" collapsed="false">
      <c r="A215" s="21" t="s">
        <v>277</v>
      </c>
      <c r="B215" s="88" t="n">
        <v>46266</v>
      </c>
      <c r="C215" s="21" t="s">
        <v>106</v>
      </c>
      <c r="D215" s="21" t="s">
        <v>42</v>
      </c>
      <c r="E215" s="21" t="s">
        <v>62</v>
      </c>
      <c r="F215" s="70" t="n">
        <v>0.291666666666667</v>
      </c>
      <c r="G215" s="68" t="n">
        <v>965</v>
      </c>
      <c r="H215" s="68" t="n">
        <v>995</v>
      </c>
      <c r="I215" s="68" t="n">
        <v>965.15</v>
      </c>
      <c r="J215" s="68" t="n">
        <v>1024.85</v>
      </c>
      <c r="L215" s="21" t="s">
        <v>47</v>
      </c>
      <c r="M215" s="21" t="s">
        <v>47</v>
      </c>
      <c r="N215" s="21" t="s">
        <v>47</v>
      </c>
      <c r="O215" s="21" t="s">
        <v>47</v>
      </c>
      <c r="P215" s="21" t="s">
        <v>47</v>
      </c>
      <c r="T215" s="3" t="n">
        <f aca="false">IF($E215="","",COUNTIF($E$2:$E215,$E215))</f>
        <v>86</v>
      </c>
      <c r="U215" s="1" t="str">
        <f aca="false">IF($E215="","",$E215&amp;"|"&amp;T215)</f>
        <v>CERVICALES|86</v>
      </c>
    </row>
    <row r="216" customFormat="false" ht="15" hidden="false" customHeight="false" outlineLevel="0" collapsed="false">
      <c r="A216" s="21" t="s">
        <v>278</v>
      </c>
      <c r="B216" s="88" t="n">
        <v>46266</v>
      </c>
      <c r="C216" s="21" t="s">
        <v>279</v>
      </c>
      <c r="D216" s="21" t="s">
        <v>42</v>
      </c>
      <c r="E216" s="21" t="s">
        <v>62</v>
      </c>
      <c r="F216" s="70" t="n">
        <v>0.541666666666667</v>
      </c>
      <c r="G216" s="68" t="n">
        <v>1000</v>
      </c>
      <c r="H216" s="68" t="n">
        <v>995</v>
      </c>
      <c r="I216" s="68" t="n">
        <v>965.15</v>
      </c>
      <c r="J216" s="68" t="n">
        <v>1024.85</v>
      </c>
      <c r="L216" s="21" t="s">
        <v>47</v>
      </c>
      <c r="M216" s="21" t="s">
        <v>47</v>
      </c>
      <c r="N216" s="21" t="s">
        <v>47</v>
      </c>
      <c r="O216" s="21" t="s">
        <v>47</v>
      </c>
      <c r="P216" s="21" t="s">
        <v>47</v>
      </c>
      <c r="Q216" s="1" t="n">
        <v>4</v>
      </c>
      <c r="R216" s="1" t="n">
        <v>350</v>
      </c>
      <c r="T216" s="3" t="n">
        <f aca="false">IF($E216="","",COUNTIF($E$2:$E216,$E216))</f>
        <v>87</v>
      </c>
      <c r="U216" s="1" t="str">
        <f aca="false">IF($E216="","",$E216&amp;"|"&amp;T216)</f>
        <v>CERVICALES|87</v>
      </c>
    </row>
    <row r="217" customFormat="false" ht="15" hidden="false" customHeight="false" outlineLevel="0" collapsed="false">
      <c r="A217" s="21" t="s">
        <v>280</v>
      </c>
      <c r="B217" s="88" t="n">
        <v>46266</v>
      </c>
      <c r="C217" s="88" t="s">
        <v>279</v>
      </c>
      <c r="D217" s="21" t="s">
        <v>42</v>
      </c>
      <c r="E217" s="21" t="s">
        <v>62</v>
      </c>
      <c r="F217" s="70" t="n">
        <v>0.5</v>
      </c>
      <c r="G217" s="68" t="n">
        <v>1000</v>
      </c>
      <c r="H217" s="68" t="n">
        <v>995</v>
      </c>
      <c r="I217" s="68" t="n">
        <v>965.15</v>
      </c>
      <c r="J217" s="68" t="n">
        <v>1024.85</v>
      </c>
      <c r="L217" s="21" t="s">
        <v>47</v>
      </c>
      <c r="M217" s="21" t="s">
        <v>47</v>
      </c>
      <c r="N217" s="21" t="s">
        <v>47</v>
      </c>
      <c r="O217" s="21" t="s">
        <v>47</v>
      </c>
      <c r="P217" s="21" t="s">
        <v>47</v>
      </c>
      <c r="Q217" s="1" t="n">
        <v>3</v>
      </c>
      <c r="R217" s="1" t="n">
        <v>300</v>
      </c>
      <c r="T217" s="3" t="n">
        <f aca="false">IF($E217="","",COUNTIF($E$2:$E217,$E217))</f>
        <v>88</v>
      </c>
      <c r="U217" s="1" t="str">
        <f aca="false">IF($E217="","",$E217&amp;"|"&amp;T217)</f>
        <v>CERVICALES|88</v>
      </c>
    </row>
    <row r="218" customFormat="false" ht="15" hidden="false" customHeight="false" outlineLevel="0" collapsed="false">
      <c r="A218" s="21" t="s">
        <v>281</v>
      </c>
      <c r="B218" s="88" t="n">
        <v>46282</v>
      </c>
      <c r="C218" s="21" t="s">
        <v>41</v>
      </c>
      <c r="D218" s="21" t="s">
        <v>42</v>
      </c>
      <c r="E218" s="21" t="s">
        <v>7</v>
      </c>
      <c r="F218" s="70" t="n">
        <v>0.5</v>
      </c>
      <c r="G218" s="68" t="n">
        <v>950</v>
      </c>
      <c r="H218" s="68" t="n">
        <v>1008</v>
      </c>
      <c r="I218" s="68" t="n">
        <v>977.76</v>
      </c>
      <c r="J218" s="68" t="n">
        <v>1038.24</v>
      </c>
      <c r="L218" s="21" t="s">
        <v>47</v>
      </c>
      <c r="M218" s="21" t="s">
        <v>47</v>
      </c>
      <c r="N218" s="21" t="s">
        <v>47</v>
      </c>
      <c r="O218" s="21" t="s">
        <v>47</v>
      </c>
      <c r="P218" s="21" t="s">
        <v>47</v>
      </c>
      <c r="Q218" s="1" t="n">
        <v>0</v>
      </c>
      <c r="R218" s="1" t="n">
        <v>0</v>
      </c>
      <c r="T218" s="3" t="n">
        <f aca="false">IF($E218="","",COUNTIF($E$2:$E218,$E218))</f>
        <v>93</v>
      </c>
      <c r="U218" s="1" t="str">
        <f aca="false">IF($E218="","",$E218&amp;"|"&amp;T218)</f>
        <v>CLÁSICAS|93</v>
      </c>
    </row>
    <row r="219" customFormat="false" ht="15" hidden="false" customHeight="false" outlineLevel="0" collapsed="false">
      <c r="T219" s="1" t="str">
        <f aca="false">IF($E219="","",COUNTIF($E$2:$E219,$E219))</f>
        <v/>
      </c>
      <c r="U219" s="1" t="str">
        <f aca="false">IF($E219="","",$E219&amp;"|"&amp;T219)</f>
        <v/>
      </c>
    </row>
    <row r="220" customFormat="false" ht="15" hidden="false" customHeight="false" outlineLevel="0" collapsed="false">
      <c r="T220" s="1" t="str">
        <f aca="false">IF($E220="","",COUNTIF($E$2:$E220,$E220))</f>
        <v/>
      </c>
      <c r="U220" s="1" t="str">
        <f aca="false">IF($E220="","",$E220&amp;"|"&amp;T220)</f>
        <v/>
      </c>
    </row>
    <row r="221" customFormat="false" ht="15" hidden="false" customHeight="false" outlineLevel="0" collapsed="false">
      <c r="T221" s="1" t="str">
        <f aca="false">IF($E221="","",COUNTIF($E$2:$E221,$E221))</f>
        <v/>
      </c>
      <c r="U221" s="1" t="str">
        <f aca="false">IF($E221="","",$E221&amp;"|"&amp;T221)</f>
        <v/>
      </c>
    </row>
    <row r="222" customFormat="false" ht="15" hidden="false" customHeight="false" outlineLevel="0" collapsed="false">
      <c r="T222" s="1" t="str">
        <f aca="false">IF($E222="","",COUNTIF($E$2:$E222,$E222))</f>
        <v/>
      </c>
      <c r="U222" s="1" t="str">
        <f aca="false">IF($E222="","",$E222&amp;"|"&amp;T222)</f>
        <v/>
      </c>
    </row>
    <row r="223" customFormat="false" ht="15" hidden="false" customHeight="false" outlineLevel="0" collapsed="false">
      <c r="T223" s="1" t="str">
        <f aca="false">IF($E223="","",COUNTIF($E$2:$E223,$E223))</f>
        <v/>
      </c>
      <c r="U223" s="1" t="str">
        <f aca="false">IF($E223="","",$E223&amp;"|"&amp;T223)</f>
        <v/>
      </c>
    </row>
    <row r="224" customFormat="false" ht="15" hidden="false" customHeight="false" outlineLevel="0" collapsed="false">
      <c r="T224" s="1" t="str">
        <f aca="false">IF($E224="","",COUNTIF($E$2:$E224,$E224))</f>
        <v/>
      </c>
      <c r="U224" s="1" t="str">
        <f aca="false">IF($E224="","",$E224&amp;"|"&amp;T224)</f>
        <v/>
      </c>
    </row>
    <row r="225" customFormat="false" ht="15" hidden="false" customHeight="false" outlineLevel="0" collapsed="false">
      <c r="T225" s="1" t="str">
        <f aca="false">IF($E225="","",COUNTIF($E$2:$E225,$E225))</f>
        <v/>
      </c>
      <c r="U225" s="1" t="str">
        <f aca="false">IF($E225="","",$E225&amp;"|"&amp;T225)</f>
        <v/>
      </c>
    </row>
    <row r="226" customFormat="false" ht="15" hidden="false" customHeight="false" outlineLevel="0" collapsed="false">
      <c r="T226" s="1" t="str">
        <f aca="false">IF($E226="","",COUNTIF($E$2:$E226,$E226))</f>
        <v/>
      </c>
      <c r="U226" s="1" t="str">
        <f aca="false">IF($E226="","",$E226&amp;"|"&amp;T226)</f>
        <v/>
      </c>
    </row>
    <row r="227" customFormat="false" ht="15" hidden="false" customHeight="false" outlineLevel="0" collapsed="false">
      <c r="T227" s="1" t="str">
        <f aca="false">IF($E227="","",COUNTIF($E$2:$E227,$E227))</f>
        <v/>
      </c>
      <c r="U227" s="1" t="str">
        <f aca="false">IF($E227="","",$E227&amp;"|"&amp;T227)</f>
        <v/>
      </c>
    </row>
    <row r="228" customFormat="false" ht="15" hidden="false" customHeight="false" outlineLevel="0" collapsed="false">
      <c r="T228" s="1" t="str">
        <f aca="false">IF($E228="","",COUNTIF($E$2:$E228,$E228))</f>
        <v/>
      </c>
      <c r="U228" s="1" t="str">
        <f aca="false">IF($E228="","",$E228&amp;"|"&amp;T228)</f>
        <v/>
      </c>
    </row>
    <row r="229" customFormat="false" ht="15" hidden="false" customHeight="false" outlineLevel="0" collapsed="false">
      <c r="T229" s="1" t="str">
        <f aca="false">IF($E229="","",COUNTIF($E$2:$E229,$E229))</f>
        <v/>
      </c>
      <c r="U229" s="1" t="str">
        <f aca="false">IF($E229="","",$E229&amp;"|"&amp;T229)</f>
        <v/>
      </c>
    </row>
    <row r="230" customFormat="false" ht="15" hidden="false" customHeight="false" outlineLevel="0" collapsed="false">
      <c r="T230" s="1" t="str">
        <f aca="false">IF($E230="","",COUNTIF($E$2:$E230,$E230))</f>
        <v/>
      </c>
      <c r="U230" s="1" t="str">
        <f aca="false">IF($E230="","",$E230&amp;"|"&amp;T230)</f>
        <v/>
      </c>
    </row>
    <row r="231" customFormat="false" ht="15" hidden="false" customHeight="false" outlineLevel="0" collapsed="false">
      <c r="T231" s="1" t="str">
        <f aca="false">IF($E231="","",COUNTIF($E$2:$E231,$E231))</f>
        <v/>
      </c>
      <c r="U231" s="1" t="str">
        <f aca="false">IF($E231="","",$E231&amp;"|"&amp;T231)</f>
        <v/>
      </c>
    </row>
    <row r="232" customFormat="false" ht="15" hidden="false" customHeight="false" outlineLevel="0" collapsed="false">
      <c r="T232" s="1" t="str">
        <f aca="false">IF($E232="","",COUNTIF($E$2:$E232,$E232))</f>
        <v/>
      </c>
      <c r="U232" s="1" t="str">
        <f aca="false">IF($E232="","",$E232&amp;"|"&amp;T232)</f>
        <v/>
      </c>
    </row>
    <row r="233" customFormat="false" ht="15" hidden="false" customHeight="false" outlineLevel="0" collapsed="false">
      <c r="T233" s="1" t="str">
        <f aca="false">IF($E233="","",COUNTIF($E$2:$E233,$E233))</f>
        <v/>
      </c>
      <c r="U233" s="1" t="str">
        <f aca="false">IF($E233="","",$E233&amp;"|"&amp;T233)</f>
        <v/>
      </c>
    </row>
    <row r="234" customFormat="false" ht="15" hidden="false" customHeight="false" outlineLevel="0" collapsed="false">
      <c r="T234" s="1" t="str">
        <f aca="false">IF($E234="","",COUNTIF($E$2:$E234,$E234))</f>
        <v/>
      </c>
      <c r="U234" s="1" t="str">
        <f aca="false">IF($E234="","",$E234&amp;"|"&amp;T234)</f>
        <v/>
      </c>
    </row>
    <row r="235" customFormat="false" ht="15" hidden="false" customHeight="false" outlineLevel="0" collapsed="false">
      <c r="T235" s="1" t="str">
        <f aca="false">IF($E235="","",COUNTIF($E$2:$E235,$E235))</f>
        <v/>
      </c>
      <c r="U235" s="1" t="str">
        <f aca="false">IF($E235="","",$E235&amp;"|"&amp;T235)</f>
        <v/>
      </c>
    </row>
    <row r="236" customFormat="false" ht="15" hidden="false" customHeight="false" outlineLevel="0" collapsed="false">
      <c r="T236" s="1" t="str">
        <f aca="false">IF($E236="","",COUNTIF($E$2:$E236,$E236))</f>
        <v/>
      </c>
      <c r="U236" s="1" t="str">
        <f aca="false">IF($E236="","",$E236&amp;"|"&amp;T236)</f>
        <v/>
      </c>
    </row>
    <row r="237" customFormat="false" ht="15" hidden="false" customHeight="false" outlineLevel="0" collapsed="false">
      <c r="T237" s="1" t="str">
        <f aca="false">IF($E237="","",COUNTIF($E$2:$E237,$E237))</f>
        <v/>
      </c>
      <c r="U237" s="1" t="str">
        <f aca="false">IF($E237="","",$E237&amp;"|"&amp;T237)</f>
        <v/>
      </c>
    </row>
    <row r="238" customFormat="false" ht="15" hidden="false" customHeight="false" outlineLevel="0" collapsed="false">
      <c r="T238" s="1" t="str">
        <f aca="false">IF($E238="","",COUNTIF($E$2:$E238,$E238))</f>
        <v/>
      </c>
      <c r="U238" s="1" t="str">
        <f aca="false">IF($E238="","",$E238&amp;"|"&amp;T238)</f>
        <v/>
      </c>
    </row>
    <row r="239" customFormat="false" ht="15" hidden="false" customHeight="false" outlineLevel="0" collapsed="false">
      <c r="T239" s="1" t="str">
        <f aca="false">IF($E239="","",COUNTIF($E$2:$E239,$E239))</f>
        <v/>
      </c>
      <c r="U239" s="1" t="str">
        <f aca="false">IF($E239="","",$E239&amp;"|"&amp;T239)</f>
        <v/>
      </c>
    </row>
    <row r="240" customFormat="false" ht="15" hidden="false" customHeight="false" outlineLevel="0" collapsed="false">
      <c r="T240" s="1" t="str">
        <f aca="false">IF($E240="","",COUNTIF($E$2:$E240,$E240))</f>
        <v/>
      </c>
      <c r="U240" s="1" t="str">
        <f aca="false">IF($E240="","",$E240&amp;"|"&amp;T240)</f>
        <v/>
      </c>
    </row>
    <row r="241" customFormat="false" ht="15" hidden="false" customHeight="false" outlineLevel="0" collapsed="false">
      <c r="T241" s="1" t="str">
        <f aca="false">IF($E241="","",COUNTIF($E$2:$E241,$E241))</f>
        <v/>
      </c>
      <c r="U241" s="1" t="str">
        <f aca="false">IF($E241="","",$E241&amp;"|"&amp;T241)</f>
        <v/>
      </c>
    </row>
    <row r="242" customFormat="false" ht="15" hidden="false" customHeight="false" outlineLevel="0" collapsed="false">
      <c r="T242" s="1" t="str">
        <f aca="false">IF($E242="","",COUNTIF($E$2:$E242,$E242))</f>
        <v/>
      </c>
      <c r="U242" s="1" t="str">
        <f aca="false">IF($E242="","",$E242&amp;"|"&amp;T242)</f>
        <v/>
      </c>
    </row>
    <row r="243" customFormat="false" ht="15" hidden="false" customHeight="false" outlineLevel="0" collapsed="false">
      <c r="T243" s="1" t="str">
        <f aca="false">IF($E243="","",COUNTIF($E$2:$E243,$E243))</f>
        <v/>
      </c>
      <c r="U243" s="1" t="str">
        <f aca="false">IF($E243="","",$E243&amp;"|"&amp;T243)</f>
        <v/>
      </c>
    </row>
    <row r="244" customFormat="false" ht="15" hidden="false" customHeight="false" outlineLevel="0" collapsed="false">
      <c r="T244" s="1" t="str">
        <f aca="false">IF($E244="","",COUNTIF($E$2:$E244,$E244))</f>
        <v/>
      </c>
      <c r="U244" s="1" t="str">
        <f aca="false">IF($E244="","",$E244&amp;"|"&amp;T244)</f>
        <v/>
      </c>
    </row>
    <row r="245" customFormat="false" ht="15" hidden="false" customHeight="false" outlineLevel="0" collapsed="false">
      <c r="T245" s="1" t="str">
        <f aca="false">IF($E245="","",COUNTIF($E$2:$E245,$E245))</f>
        <v/>
      </c>
      <c r="U245" s="1" t="str">
        <f aca="false">IF($E245="","",$E245&amp;"|"&amp;T245)</f>
        <v/>
      </c>
    </row>
    <row r="246" customFormat="false" ht="15" hidden="false" customHeight="false" outlineLevel="0" collapsed="false">
      <c r="T246" s="1" t="str">
        <f aca="false">IF($E246="","",COUNTIF($E$2:$E246,$E246))</f>
        <v/>
      </c>
      <c r="U246" s="1" t="str">
        <f aca="false">IF($E246="","",$E246&amp;"|"&amp;T246)</f>
        <v/>
      </c>
    </row>
    <row r="247" customFormat="false" ht="15" hidden="false" customHeight="false" outlineLevel="0" collapsed="false">
      <c r="T247" s="1" t="str">
        <f aca="false">IF($E247="","",COUNTIF($E$2:$E247,$E247))</f>
        <v/>
      </c>
      <c r="U247" s="1" t="str">
        <f aca="false">IF($E247="","",$E247&amp;"|"&amp;T247)</f>
        <v/>
      </c>
    </row>
    <row r="248" customFormat="false" ht="15" hidden="false" customHeight="false" outlineLevel="0" collapsed="false">
      <c r="T248" s="1" t="str">
        <f aca="false">IF($E248="","",COUNTIF($E$2:$E248,$E248))</f>
        <v/>
      </c>
      <c r="U248" s="1" t="str">
        <f aca="false">IF($E248="","",$E248&amp;"|"&amp;T248)</f>
        <v/>
      </c>
    </row>
    <row r="249" customFormat="false" ht="15" hidden="false" customHeight="false" outlineLevel="0" collapsed="false">
      <c r="T249" s="1" t="str">
        <f aca="false">IF($E249="","",COUNTIF($E$2:$E249,$E249))</f>
        <v/>
      </c>
      <c r="U249" s="1" t="str">
        <f aca="false">IF($E249="","",$E249&amp;"|"&amp;T249)</f>
        <v/>
      </c>
    </row>
    <row r="250" customFormat="false" ht="15" hidden="false" customHeight="false" outlineLevel="0" collapsed="false">
      <c r="T250" s="1" t="str">
        <f aca="false">IF($E250="","",COUNTIF($E$2:$E250,$E250))</f>
        <v/>
      </c>
      <c r="U250" s="1" t="str">
        <f aca="false">IF($E250="","",$E250&amp;"|"&amp;T250)</f>
        <v/>
      </c>
    </row>
    <row r="251" customFormat="false" ht="15" hidden="false" customHeight="false" outlineLevel="0" collapsed="false">
      <c r="T251" s="1" t="str">
        <f aca="false">IF($E251="","",COUNTIF($E$2:$E251,$E251))</f>
        <v/>
      </c>
      <c r="U251" s="1" t="str">
        <f aca="false">IF($E251="","",$E251&amp;"|"&amp;T251)</f>
        <v/>
      </c>
    </row>
    <row r="252" customFormat="false" ht="15" hidden="false" customHeight="false" outlineLevel="0" collapsed="false">
      <c r="T252" s="1" t="str">
        <f aca="false">IF($E252="","",COUNTIF($E$2:$E252,$E252))</f>
        <v/>
      </c>
      <c r="U252" s="1" t="str">
        <f aca="false">IF($E252="","",$E252&amp;"|"&amp;T252)</f>
        <v/>
      </c>
    </row>
    <row r="253" customFormat="false" ht="15" hidden="false" customHeight="false" outlineLevel="0" collapsed="false">
      <c r="T253" s="1" t="str">
        <f aca="false">IF($E253="","",COUNTIF($E$2:$E253,$E253))</f>
        <v/>
      </c>
      <c r="U253" s="1" t="str">
        <f aca="false">IF($E253="","",$E253&amp;"|"&amp;T253)</f>
        <v/>
      </c>
    </row>
    <row r="254" customFormat="false" ht="15" hidden="false" customHeight="false" outlineLevel="0" collapsed="false">
      <c r="T254" s="1" t="str">
        <f aca="false">IF($E254="","",COUNTIF($E$2:$E254,$E254))</f>
        <v/>
      </c>
      <c r="U254" s="1" t="str">
        <f aca="false">IF($E254="","",$E254&amp;"|"&amp;T254)</f>
        <v/>
      </c>
    </row>
    <row r="255" customFormat="false" ht="15" hidden="false" customHeight="false" outlineLevel="0" collapsed="false">
      <c r="T255" s="1" t="str">
        <f aca="false">IF($E255="","",COUNTIF($E$2:$E255,$E255))</f>
        <v/>
      </c>
      <c r="U255" s="1" t="str">
        <f aca="false">IF($E255="","",$E255&amp;"|"&amp;T255)</f>
        <v/>
      </c>
    </row>
    <row r="256" customFormat="false" ht="15" hidden="false" customHeight="false" outlineLevel="0" collapsed="false">
      <c r="T256" s="1" t="str">
        <f aca="false">IF($E256="","",COUNTIF($E$2:$E256,$E256))</f>
        <v/>
      </c>
      <c r="U256" s="1" t="str">
        <f aca="false">IF($E256="","",$E256&amp;"|"&amp;T256)</f>
        <v/>
      </c>
    </row>
    <row r="257" customFormat="false" ht="15" hidden="false" customHeight="false" outlineLevel="0" collapsed="false">
      <c r="T257" s="1" t="str">
        <f aca="false">IF($E257="","",COUNTIF($E$2:$E257,$E257))</f>
        <v/>
      </c>
      <c r="U257" s="1" t="str">
        <f aca="false">IF($E257="","",$E257&amp;"|"&amp;T257)</f>
        <v/>
      </c>
    </row>
    <row r="258" customFormat="false" ht="15" hidden="false" customHeight="false" outlineLevel="0" collapsed="false">
      <c r="T258" s="1" t="str">
        <f aca="false">IF($E258="","",COUNTIF($E$2:$E258,$E258))</f>
        <v/>
      </c>
      <c r="U258" s="1" t="str">
        <f aca="false">IF($E258="","",$E258&amp;"|"&amp;T258)</f>
        <v/>
      </c>
    </row>
    <row r="259" customFormat="false" ht="15" hidden="false" customHeight="false" outlineLevel="0" collapsed="false">
      <c r="T259" s="1" t="str">
        <f aca="false">IF($E259="","",COUNTIF($E$2:$E259,$E259))</f>
        <v/>
      </c>
      <c r="U259" s="1" t="str">
        <f aca="false">IF($E259="","",$E259&amp;"|"&amp;T259)</f>
        <v/>
      </c>
    </row>
    <row r="260" customFormat="false" ht="15" hidden="false" customHeight="false" outlineLevel="0" collapsed="false">
      <c r="T260" s="1" t="str">
        <f aca="false">IF($E260="","",COUNTIF($E$2:$E260,$E260))</f>
        <v/>
      </c>
      <c r="U260" s="1" t="str">
        <f aca="false">IF($E260="","",$E260&amp;"|"&amp;T260)</f>
        <v/>
      </c>
    </row>
    <row r="261" customFormat="false" ht="15" hidden="false" customHeight="false" outlineLevel="0" collapsed="false">
      <c r="T261" s="1" t="str">
        <f aca="false">IF($E261="","",COUNTIF($E$2:$E261,$E261))</f>
        <v/>
      </c>
      <c r="U261" s="1" t="str">
        <f aca="false">IF($E261="","",$E261&amp;"|"&amp;T261)</f>
        <v/>
      </c>
    </row>
    <row r="262" customFormat="false" ht="15" hidden="false" customHeight="false" outlineLevel="0" collapsed="false">
      <c r="T262" s="1" t="str">
        <f aca="false">IF($E262="","",COUNTIF($E$2:$E262,$E262))</f>
        <v/>
      </c>
      <c r="U262" s="1" t="str">
        <f aca="false">IF($E262="","",$E262&amp;"|"&amp;T262)</f>
        <v/>
      </c>
    </row>
    <row r="263" customFormat="false" ht="15" hidden="false" customHeight="false" outlineLevel="0" collapsed="false">
      <c r="T263" s="1" t="str">
        <f aca="false">IF($E263="","",COUNTIF($E$2:$E263,$E263))</f>
        <v/>
      </c>
      <c r="U263" s="1" t="str">
        <f aca="false">IF($E263="","",$E263&amp;"|"&amp;T263)</f>
        <v/>
      </c>
    </row>
    <row r="264" customFormat="false" ht="15" hidden="false" customHeight="false" outlineLevel="0" collapsed="false">
      <c r="T264" s="1" t="str">
        <f aca="false">IF($E264="","",COUNTIF($E$2:$E264,$E264))</f>
        <v/>
      </c>
      <c r="U264" s="1" t="str">
        <f aca="false">IF($E264="","",$E264&amp;"|"&amp;T264)</f>
        <v/>
      </c>
    </row>
    <row r="265" customFormat="false" ht="15" hidden="false" customHeight="false" outlineLevel="0" collapsed="false">
      <c r="T265" s="1" t="str">
        <f aca="false">IF($E265="","",COUNTIF($E$2:$E265,$E265))</f>
        <v/>
      </c>
      <c r="U265" s="1" t="str">
        <f aca="false">IF($E265="","",$E265&amp;"|"&amp;T265)</f>
        <v/>
      </c>
    </row>
    <row r="266" customFormat="false" ht="15" hidden="false" customHeight="false" outlineLevel="0" collapsed="false">
      <c r="T266" s="1" t="str">
        <f aca="false">IF($E266="","",COUNTIF($E$2:$E266,$E266))</f>
        <v/>
      </c>
      <c r="U266" s="1" t="str">
        <f aca="false">IF($E266="","",$E266&amp;"|"&amp;T266)</f>
        <v/>
      </c>
    </row>
    <row r="267" customFormat="false" ht="15" hidden="false" customHeight="false" outlineLevel="0" collapsed="false">
      <c r="T267" s="1" t="str">
        <f aca="false">IF($E267="","",COUNTIF($E$2:$E267,$E267))</f>
        <v/>
      </c>
      <c r="U267" s="1" t="str">
        <f aca="false">IF($E267="","",$E267&amp;"|"&amp;T267)</f>
        <v/>
      </c>
    </row>
    <row r="268" customFormat="false" ht="15" hidden="false" customHeight="false" outlineLevel="0" collapsed="false">
      <c r="T268" s="1" t="str">
        <f aca="false">IF($E268="","",COUNTIF($E$2:$E268,$E268))</f>
        <v/>
      </c>
      <c r="U268" s="1" t="str">
        <f aca="false">IF($E268="","",$E268&amp;"|"&amp;T268)</f>
        <v/>
      </c>
    </row>
    <row r="269" customFormat="false" ht="15" hidden="false" customHeight="false" outlineLevel="0" collapsed="false">
      <c r="T269" s="1" t="str">
        <f aca="false">IF($E269="","",COUNTIF($E$2:$E269,$E269))</f>
        <v/>
      </c>
      <c r="U269" s="1" t="str">
        <f aca="false">IF($E269="","",$E269&amp;"|"&amp;T269)</f>
        <v/>
      </c>
    </row>
    <row r="270" customFormat="false" ht="15" hidden="false" customHeight="false" outlineLevel="0" collapsed="false">
      <c r="T270" s="1" t="str">
        <f aca="false">IF($E270="","",COUNTIF($E$2:$E270,$E270))</f>
        <v/>
      </c>
      <c r="U270" s="1" t="str">
        <f aca="false">IF($E270="","",$E270&amp;"|"&amp;T270)</f>
        <v/>
      </c>
    </row>
    <row r="271" customFormat="false" ht="15" hidden="false" customHeight="false" outlineLevel="0" collapsed="false">
      <c r="T271" s="1" t="str">
        <f aca="false">IF($E271="","",COUNTIF($E$2:$E271,$E271))</f>
        <v/>
      </c>
      <c r="U271" s="1" t="str">
        <f aca="false">IF($E271="","",$E271&amp;"|"&amp;T271)</f>
        <v/>
      </c>
    </row>
    <row r="272" customFormat="false" ht="15" hidden="false" customHeight="false" outlineLevel="0" collapsed="false">
      <c r="T272" s="1" t="str">
        <f aca="false">IF($E272="","",COUNTIF($E$2:$E272,$E272))</f>
        <v/>
      </c>
      <c r="U272" s="1" t="str">
        <f aca="false">IF($E272="","",$E272&amp;"|"&amp;T272)</f>
        <v/>
      </c>
    </row>
    <row r="273" customFormat="false" ht="15" hidden="false" customHeight="false" outlineLevel="0" collapsed="false">
      <c r="T273" s="1" t="str">
        <f aca="false">IF($E273="","",COUNTIF($E$2:$E273,$E273))</f>
        <v/>
      </c>
      <c r="U273" s="1" t="str">
        <f aca="false">IF($E273="","",$E273&amp;"|"&amp;T273)</f>
        <v/>
      </c>
    </row>
    <row r="274" customFormat="false" ht="15" hidden="false" customHeight="false" outlineLevel="0" collapsed="false">
      <c r="T274" s="1" t="str">
        <f aca="false">IF($E274="","",COUNTIF($E$2:$E274,$E274))</f>
        <v/>
      </c>
      <c r="U274" s="1" t="str">
        <f aca="false">IF($E274="","",$E274&amp;"|"&amp;T274)</f>
        <v/>
      </c>
    </row>
    <row r="275" customFormat="false" ht="15" hidden="false" customHeight="false" outlineLevel="0" collapsed="false">
      <c r="T275" s="1" t="str">
        <f aca="false">IF($E275="","",COUNTIF($E$2:$E275,$E275))</f>
        <v/>
      </c>
      <c r="U275" s="1" t="str">
        <f aca="false">IF($E275="","",$E275&amp;"|"&amp;T275)</f>
        <v/>
      </c>
    </row>
    <row r="276" customFormat="false" ht="15" hidden="false" customHeight="false" outlineLevel="0" collapsed="false">
      <c r="T276" s="1" t="str">
        <f aca="false">IF($E276="","",COUNTIF($E$2:$E276,$E276))</f>
        <v/>
      </c>
      <c r="U276" s="1" t="str">
        <f aca="false">IF($E276="","",$E276&amp;"|"&amp;T276)</f>
        <v/>
      </c>
    </row>
    <row r="277" customFormat="false" ht="15" hidden="false" customHeight="false" outlineLevel="0" collapsed="false">
      <c r="T277" s="1" t="str">
        <f aca="false">IF($E277="","",COUNTIF($E$2:$E277,$E277))</f>
        <v/>
      </c>
      <c r="U277" s="1" t="str">
        <f aca="false">IF($E277="","",$E277&amp;"|"&amp;T277)</f>
        <v/>
      </c>
    </row>
    <row r="278" customFormat="false" ht="15" hidden="false" customHeight="false" outlineLevel="0" collapsed="false">
      <c r="T278" s="1" t="str">
        <f aca="false">IF($E278="","",COUNTIF($E$2:$E278,$E278))</f>
        <v/>
      </c>
      <c r="U278" s="1" t="str">
        <f aca="false">IF($E278="","",$E278&amp;"|"&amp;T278)</f>
        <v/>
      </c>
    </row>
    <row r="279" customFormat="false" ht="15" hidden="false" customHeight="false" outlineLevel="0" collapsed="false">
      <c r="T279" s="1" t="str">
        <f aca="false">IF($E279="","",COUNTIF($E$2:$E279,$E279))</f>
        <v/>
      </c>
      <c r="U279" s="1" t="str">
        <f aca="false">IF($E279="","",$E279&amp;"|"&amp;T279)</f>
        <v/>
      </c>
    </row>
    <row r="280" customFormat="false" ht="15" hidden="false" customHeight="false" outlineLevel="0" collapsed="false">
      <c r="T280" s="1" t="str">
        <f aca="false">IF($E280="","",COUNTIF($E$2:$E280,$E280))</f>
        <v/>
      </c>
      <c r="U280" s="1" t="str">
        <f aca="false">IF($E280="","",$E280&amp;"|"&amp;T280)</f>
        <v/>
      </c>
    </row>
    <row r="281" customFormat="false" ht="15" hidden="false" customHeight="false" outlineLevel="0" collapsed="false">
      <c r="T281" s="1" t="str">
        <f aca="false">IF($E281="","",COUNTIF($E$2:$E281,$E281))</f>
        <v/>
      </c>
      <c r="U281" s="1" t="str">
        <f aca="false">IF($E281="","",$E281&amp;"|"&amp;T281)</f>
        <v/>
      </c>
    </row>
    <row r="282" customFormat="false" ht="15" hidden="false" customHeight="false" outlineLevel="0" collapsed="false">
      <c r="T282" s="1" t="str">
        <f aca="false">IF($E282="","",COUNTIF($E$2:$E282,$E282))</f>
        <v/>
      </c>
      <c r="U282" s="1" t="str">
        <f aca="false">IF($E282="","",$E282&amp;"|"&amp;T282)</f>
        <v/>
      </c>
    </row>
    <row r="283" customFormat="false" ht="15" hidden="false" customHeight="false" outlineLevel="0" collapsed="false">
      <c r="T283" s="1" t="str">
        <f aca="false">IF($E283="","",COUNTIF($E$2:$E283,$E283))</f>
        <v/>
      </c>
      <c r="U283" s="1" t="str">
        <f aca="false">IF($E283="","",$E283&amp;"|"&amp;T283)</f>
        <v/>
      </c>
    </row>
    <row r="284" customFormat="false" ht="15" hidden="false" customHeight="false" outlineLevel="0" collapsed="false">
      <c r="T284" s="1" t="str">
        <f aca="false">IF($E284="","",COUNTIF($E$2:$E284,$E284))</f>
        <v/>
      </c>
      <c r="U284" s="1" t="str">
        <f aca="false">IF($E284="","",$E284&amp;"|"&amp;T284)</f>
        <v/>
      </c>
    </row>
    <row r="285" customFormat="false" ht="15" hidden="false" customHeight="false" outlineLevel="0" collapsed="false">
      <c r="T285" s="1" t="str">
        <f aca="false">IF($E285="","",COUNTIF($E$2:$E285,$E285))</f>
        <v/>
      </c>
      <c r="U285" s="1" t="str">
        <f aca="false">IF($E285="","",$E285&amp;"|"&amp;T285)</f>
        <v/>
      </c>
    </row>
    <row r="286" customFormat="false" ht="15" hidden="false" customHeight="false" outlineLevel="0" collapsed="false">
      <c r="T286" s="1" t="str">
        <f aca="false">IF($E286="","",COUNTIF($E$2:$E286,$E286))</f>
        <v/>
      </c>
      <c r="U286" s="1" t="str">
        <f aca="false">IF($E286="","",$E286&amp;"|"&amp;T286)</f>
        <v/>
      </c>
    </row>
    <row r="287" customFormat="false" ht="15" hidden="false" customHeight="false" outlineLevel="0" collapsed="false">
      <c r="T287" s="1" t="str">
        <f aca="false">IF($E287="","",COUNTIF($E$2:$E287,$E287))</f>
        <v/>
      </c>
      <c r="U287" s="1" t="str">
        <f aca="false">IF($E287="","",$E287&amp;"|"&amp;T287)</f>
        <v/>
      </c>
    </row>
    <row r="288" customFormat="false" ht="15" hidden="false" customHeight="false" outlineLevel="0" collapsed="false">
      <c r="T288" s="1" t="str">
        <f aca="false">IF($E288="","",COUNTIF($E$2:$E288,$E288))</f>
        <v/>
      </c>
      <c r="U288" s="1" t="str">
        <f aca="false">IF($E288="","",$E288&amp;"|"&amp;T288)</f>
        <v/>
      </c>
    </row>
    <row r="289" customFormat="false" ht="15" hidden="false" customHeight="false" outlineLevel="0" collapsed="false">
      <c r="T289" s="1" t="str">
        <f aca="false">IF($E289="","",COUNTIF($E$2:$E289,$E289))</f>
        <v/>
      </c>
      <c r="U289" s="1" t="str">
        <f aca="false">IF($E289="","",$E289&amp;"|"&amp;T289)</f>
        <v/>
      </c>
    </row>
    <row r="290" customFormat="false" ht="15" hidden="false" customHeight="false" outlineLevel="0" collapsed="false">
      <c r="T290" s="1" t="str">
        <f aca="false">IF($E290="","",COUNTIF($E$2:$E290,$E290))</f>
        <v/>
      </c>
      <c r="U290" s="1" t="str">
        <f aca="false">IF($E290="","",$E290&amp;"|"&amp;T290)</f>
        <v/>
      </c>
    </row>
    <row r="291" customFormat="false" ht="15" hidden="false" customHeight="false" outlineLevel="0" collapsed="false">
      <c r="T291" s="1" t="str">
        <f aca="false">IF($E291="","",COUNTIF($E$2:$E291,$E291))</f>
        <v/>
      </c>
      <c r="U291" s="1" t="str">
        <f aca="false">IF($E291="","",$E291&amp;"|"&amp;T291)</f>
        <v/>
      </c>
    </row>
    <row r="292" customFormat="false" ht="15" hidden="false" customHeight="false" outlineLevel="0" collapsed="false">
      <c r="T292" s="1" t="str">
        <f aca="false">IF($E292="","",COUNTIF($E$2:$E292,$E292))</f>
        <v/>
      </c>
      <c r="U292" s="1" t="str">
        <f aca="false">IF($E292="","",$E292&amp;"|"&amp;T292)</f>
        <v/>
      </c>
    </row>
    <row r="293" customFormat="false" ht="15" hidden="false" customHeight="false" outlineLevel="0" collapsed="false">
      <c r="T293" s="1" t="str">
        <f aca="false">IF($E293="","",COUNTIF($E$2:$E293,$E293))</f>
        <v/>
      </c>
      <c r="U293" s="1" t="str">
        <f aca="false">IF($E293="","",$E293&amp;"|"&amp;T293)</f>
        <v/>
      </c>
    </row>
    <row r="294" customFormat="false" ht="15" hidden="false" customHeight="false" outlineLevel="0" collapsed="false">
      <c r="T294" s="1" t="str">
        <f aca="false">IF($E294="","",COUNTIF($E$2:$E294,$E294))</f>
        <v/>
      </c>
      <c r="U294" s="1" t="str">
        <f aca="false">IF($E294="","",$E294&amp;"|"&amp;T294)</f>
        <v/>
      </c>
    </row>
    <row r="295" customFormat="false" ht="15" hidden="false" customHeight="false" outlineLevel="0" collapsed="false">
      <c r="T295" s="1" t="str">
        <f aca="false">IF($E295="","",COUNTIF($E$2:$E295,$E295))</f>
        <v/>
      </c>
      <c r="U295" s="1" t="str">
        <f aca="false">IF($E295="","",$E295&amp;"|"&amp;T295)</f>
        <v/>
      </c>
    </row>
    <row r="296" customFormat="false" ht="15" hidden="false" customHeight="false" outlineLevel="0" collapsed="false">
      <c r="T296" s="1" t="str">
        <f aca="false">IF($E296="","",COUNTIF($E$2:$E296,$E296))</f>
        <v/>
      </c>
      <c r="U296" s="1" t="str">
        <f aca="false">IF($E296="","",$E296&amp;"|"&amp;T296)</f>
        <v/>
      </c>
    </row>
    <row r="297" customFormat="false" ht="15" hidden="false" customHeight="false" outlineLevel="0" collapsed="false">
      <c r="T297" s="1" t="str">
        <f aca="false">IF($E297="","",COUNTIF($E$2:$E297,$E297))</f>
        <v/>
      </c>
      <c r="U297" s="1" t="str">
        <f aca="false">IF($E297="","",$E297&amp;"|"&amp;T297)</f>
        <v/>
      </c>
    </row>
    <row r="298" customFormat="false" ht="15" hidden="false" customHeight="false" outlineLevel="0" collapsed="false">
      <c r="T298" s="1" t="str">
        <f aca="false">IF($E298="","",COUNTIF($E$2:$E298,$E298))</f>
        <v/>
      </c>
      <c r="U298" s="1" t="str">
        <f aca="false">IF($E298="","",$E298&amp;"|"&amp;T298)</f>
        <v/>
      </c>
    </row>
    <row r="299" customFormat="false" ht="15" hidden="false" customHeight="false" outlineLevel="0" collapsed="false">
      <c r="T299" s="1" t="str">
        <f aca="false">IF($E299="","",COUNTIF($E$2:$E299,$E299))</f>
        <v/>
      </c>
      <c r="U299" s="1" t="str">
        <f aca="false">IF($E299="","",$E299&amp;"|"&amp;T299)</f>
        <v/>
      </c>
    </row>
    <row r="300" customFormat="false" ht="15" hidden="false" customHeight="false" outlineLevel="0" collapsed="false">
      <c r="T300" s="1" t="str">
        <f aca="false">IF($E300="","",COUNTIF($E$2:$E300,$E300))</f>
        <v/>
      </c>
      <c r="U300" s="1" t="str">
        <f aca="false">IF($E300="","",$E300&amp;"|"&amp;T300)</f>
        <v/>
      </c>
    </row>
    <row r="301" customFormat="false" ht="15" hidden="false" customHeight="false" outlineLevel="0" collapsed="false">
      <c r="T301" s="1" t="str">
        <f aca="false">IF($E301="","",COUNTIF($E$2:$E301,$E301))</f>
        <v/>
      </c>
      <c r="U301" s="1" t="str">
        <f aca="false">IF($E301="","",$E301&amp;"|"&amp;T301)</f>
        <v/>
      </c>
    </row>
    <row r="302" customFormat="false" ht="15" hidden="false" customHeight="false" outlineLevel="0" collapsed="false">
      <c r="T302" s="1" t="str">
        <f aca="false">IF($E302="","",COUNTIF($E$2:$E302,$E302))</f>
        <v/>
      </c>
      <c r="U302" s="1" t="str">
        <f aca="false">IF($E302="","",$E302&amp;"|"&amp;T302)</f>
        <v/>
      </c>
    </row>
    <row r="303" customFormat="false" ht="15" hidden="false" customHeight="false" outlineLevel="0" collapsed="false">
      <c r="T303" s="1" t="str">
        <f aca="false">IF($E303="","",COUNTIF($E$2:$E303,$E303))</f>
        <v/>
      </c>
      <c r="U303" s="1" t="str">
        <f aca="false">IF($E303="","",$E303&amp;"|"&amp;T303)</f>
        <v/>
      </c>
    </row>
    <row r="304" customFormat="false" ht="15" hidden="false" customHeight="false" outlineLevel="0" collapsed="false">
      <c r="T304" s="1" t="str">
        <f aca="false">IF($E304="","",COUNTIF($E$2:$E304,$E304))</f>
        <v/>
      </c>
      <c r="U304" s="1" t="str">
        <f aca="false">IF($E304="","",$E304&amp;"|"&amp;T304)</f>
        <v/>
      </c>
    </row>
    <row r="305" customFormat="false" ht="15" hidden="false" customHeight="false" outlineLevel="0" collapsed="false">
      <c r="T305" s="1" t="str">
        <f aca="false">IF($E305="","",COUNTIF($E$2:$E305,$E305))</f>
        <v/>
      </c>
      <c r="U305" s="1" t="str">
        <f aca="false">IF($E305="","",$E305&amp;"|"&amp;T305)</f>
        <v/>
      </c>
    </row>
    <row r="306" customFormat="false" ht="15" hidden="false" customHeight="false" outlineLevel="0" collapsed="false">
      <c r="T306" s="1" t="str">
        <f aca="false">IF($E306="","",COUNTIF($E$2:$E306,$E306))</f>
        <v/>
      </c>
      <c r="U306" s="1" t="str">
        <f aca="false">IF($E306="","",$E306&amp;"|"&amp;T306)</f>
        <v/>
      </c>
    </row>
    <row r="307" customFormat="false" ht="15" hidden="false" customHeight="false" outlineLevel="0" collapsed="false">
      <c r="T307" s="1" t="str">
        <f aca="false">IF($E307="","",COUNTIF($E$2:$E307,$E307))</f>
        <v/>
      </c>
      <c r="U307" s="1" t="str">
        <f aca="false">IF($E307="","",$E307&amp;"|"&amp;T307)</f>
        <v/>
      </c>
    </row>
    <row r="308" customFormat="false" ht="15" hidden="false" customHeight="false" outlineLevel="0" collapsed="false">
      <c r="T308" s="1" t="str">
        <f aca="false">IF($E308="","",COUNTIF($E$2:$E308,$E308))</f>
        <v/>
      </c>
      <c r="U308" s="1" t="str">
        <f aca="false">IF($E308="","",$E308&amp;"|"&amp;T308)</f>
        <v/>
      </c>
    </row>
    <row r="309" customFormat="false" ht="15" hidden="false" customHeight="false" outlineLevel="0" collapsed="false">
      <c r="T309" s="1" t="str">
        <f aca="false">IF($E309="","",COUNTIF($E$2:$E309,$E309))</f>
        <v/>
      </c>
      <c r="U309" s="1" t="str">
        <f aca="false">IF($E309="","",$E309&amp;"|"&amp;T309)</f>
        <v/>
      </c>
    </row>
    <row r="310" customFormat="false" ht="15" hidden="false" customHeight="false" outlineLevel="0" collapsed="false">
      <c r="T310" s="1" t="str">
        <f aca="false">IF($E310="","",COUNTIF($E$2:$E310,$E310))</f>
        <v/>
      </c>
      <c r="U310" s="1" t="str">
        <f aca="false">IF($E310="","",$E310&amp;"|"&amp;T310)</f>
        <v/>
      </c>
    </row>
    <row r="311" customFormat="false" ht="15" hidden="false" customHeight="false" outlineLevel="0" collapsed="false">
      <c r="T311" s="1" t="str">
        <f aca="false">IF($E311="","",COUNTIF($E$2:$E311,$E311))</f>
        <v/>
      </c>
      <c r="U311" s="1" t="str">
        <f aca="false">IF($E311="","",$E311&amp;"|"&amp;T311)</f>
        <v/>
      </c>
    </row>
    <row r="312" customFormat="false" ht="15" hidden="false" customHeight="false" outlineLevel="0" collapsed="false">
      <c r="T312" s="1" t="str">
        <f aca="false">IF($E312="","",COUNTIF($E$2:$E312,$E312))</f>
        <v/>
      </c>
      <c r="U312" s="1" t="str">
        <f aca="false">IF($E312="","",$E312&amp;"|"&amp;T312)</f>
        <v/>
      </c>
    </row>
    <row r="313" customFormat="false" ht="15" hidden="false" customHeight="false" outlineLevel="0" collapsed="false">
      <c r="T313" s="1" t="str">
        <f aca="false">IF($E313="","",COUNTIF($E$2:$E313,$E313))</f>
        <v/>
      </c>
      <c r="U313" s="1" t="str">
        <f aca="false">IF($E313="","",$E313&amp;"|"&amp;T313)</f>
        <v/>
      </c>
    </row>
    <row r="314" customFormat="false" ht="15" hidden="false" customHeight="false" outlineLevel="0" collapsed="false">
      <c r="T314" s="1" t="str">
        <f aca="false">IF($E314="","",COUNTIF($E$2:$E314,$E314))</f>
        <v/>
      </c>
      <c r="U314" s="1" t="str">
        <f aca="false">IF($E314="","",$E314&amp;"|"&amp;T314)</f>
        <v/>
      </c>
    </row>
    <row r="315" customFormat="false" ht="15" hidden="false" customHeight="false" outlineLevel="0" collapsed="false">
      <c r="T315" s="1" t="str">
        <f aca="false">IF($E315="","",COUNTIF($E$2:$E315,$E315))</f>
        <v/>
      </c>
      <c r="U315" s="1" t="str">
        <f aca="false">IF($E315="","",$E315&amp;"|"&amp;T315)</f>
        <v/>
      </c>
    </row>
    <row r="316" customFormat="false" ht="15" hidden="false" customHeight="false" outlineLevel="0" collapsed="false">
      <c r="T316" s="1" t="str">
        <f aca="false">IF($E316="","",COUNTIF($E$2:$E316,$E316))</f>
        <v/>
      </c>
      <c r="U316" s="1" t="str">
        <f aca="false">IF($E316="","",$E316&amp;"|"&amp;T316)</f>
        <v/>
      </c>
    </row>
    <row r="317" customFormat="false" ht="15" hidden="false" customHeight="false" outlineLevel="0" collapsed="false">
      <c r="T317" s="1" t="str">
        <f aca="false">IF($E317="","",COUNTIF($E$2:$E317,$E317))</f>
        <v/>
      </c>
      <c r="U317" s="1" t="str">
        <f aca="false">IF($E317="","",$E317&amp;"|"&amp;T317)</f>
        <v/>
      </c>
    </row>
    <row r="318" customFormat="false" ht="15" hidden="false" customHeight="false" outlineLevel="0" collapsed="false">
      <c r="T318" s="1" t="str">
        <f aca="false">IF($E318="","",COUNTIF($E$2:$E318,$E318))</f>
        <v/>
      </c>
      <c r="U318" s="1" t="str">
        <f aca="false">IF($E318="","",$E318&amp;"|"&amp;T318)</f>
        <v/>
      </c>
    </row>
    <row r="319" customFormat="false" ht="15" hidden="false" customHeight="false" outlineLevel="0" collapsed="false">
      <c r="T319" s="1" t="str">
        <f aca="false">IF($E319="","",COUNTIF($E$2:$E319,$E319))</f>
        <v/>
      </c>
      <c r="U319" s="1" t="str">
        <f aca="false">IF($E319="","",$E319&amp;"|"&amp;T319)</f>
        <v/>
      </c>
    </row>
    <row r="320" customFormat="false" ht="15" hidden="false" customHeight="false" outlineLevel="0" collapsed="false">
      <c r="T320" s="1" t="str">
        <f aca="false">IF($E320="","",COUNTIF($E$2:$E320,$E320))</f>
        <v/>
      </c>
      <c r="U320" s="1" t="str">
        <f aca="false">IF($E320="","",$E320&amp;"|"&amp;T320)</f>
        <v/>
      </c>
    </row>
    <row r="321" customFormat="false" ht="15" hidden="false" customHeight="false" outlineLevel="0" collapsed="false">
      <c r="T321" s="1" t="str">
        <f aca="false">IF($E321="","",COUNTIF($E$2:$E321,$E321))</f>
        <v/>
      </c>
      <c r="U321" s="1" t="str">
        <f aca="false">IF($E321="","",$E321&amp;"|"&amp;T321)</f>
        <v/>
      </c>
    </row>
    <row r="322" customFormat="false" ht="15" hidden="false" customHeight="false" outlineLevel="0" collapsed="false">
      <c r="T322" s="1" t="str">
        <f aca="false">IF($E322="","",COUNTIF($E$2:$E322,$E322))</f>
        <v/>
      </c>
      <c r="U322" s="1" t="str">
        <f aca="false">IF($E322="","",$E322&amp;"|"&amp;T322)</f>
        <v/>
      </c>
    </row>
    <row r="323" customFormat="false" ht="15" hidden="false" customHeight="false" outlineLevel="0" collapsed="false">
      <c r="T323" s="1" t="str">
        <f aca="false">IF($E323="","",COUNTIF($E$2:$E323,$E323))</f>
        <v/>
      </c>
      <c r="U323" s="1" t="str">
        <f aca="false">IF($E323="","",$E323&amp;"|"&amp;T323)</f>
        <v/>
      </c>
    </row>
    <row r="324" customFormat="false" ht="15" hidden="false" customHeight="false" outlineLevel="0" collapsed="false">
      <c r="T324" s="1" t="str">
        <f aca="false">IF($E324="","",COUNTIF($E$2:$E324,$E324))</f>
        <v/>
      </c>
      <c r="U324" s="1" t="str">
        <f aca="false">IF($E324="","",$E324&amp;"|"&amp;T324)</f>
        <v/>
      </c>
    </row>
    <row r="325" customFormat="false" ht="15" hidden="false" customHeight="false" outlineLevel="0" collapsed="false">
      <c r="T325" s="1" t="str">
        <f aca="false">IF($E325="","",COUNTIF($E$2:$E325,$E325))</f>
        <v/>
      </c>
      <c r="U325" s="1" t="str">
        <f aca="false">IF($E325="","",$E325&amp;"|"&amp;T325)</f>
        <v/>
      </c>
    </row>
    <row r="326" customFormat="false" ht="15" hidden="false" customHeight="false" outlineLevel="0" collapsed="false">
      <c r="T326" s="1" t="str">
        <f aca="false">IF($E326="","",COUNTIF($E$2:$E326,$E326))</f>
        <v/>
      </c>
      <c r="U326" s="1" t="str">
        <f aca="false">IF($E326="","",$E326&amp;"|"&amp;T326)</f>
        <v/>
      </c>
    </row>
    <row r="327" customFormat="false" ht="15" hidden="false" customHeight="false" outlineLevel="0" collapsed="false">
      <c r="T327" s="1" t="str">
        <f aca="false">IF($E327="","",COUNTIF($E$2:$E327,$E327))</f>
        <v/>
      </c>
      <c r="U327" s="1" t="str">
        <f aca="false">IF($E327="","",$E327&amp;"|"&amp;T327)</f>
        <v/>
      </c>
    </row>
    <row r="328" customFormat="false" ht="15" hidden="false" customHeight="false" outlineLevel="0" collapsed="false">
      <c r="T328" s="1" t="str">
        <f aca="false">IF($E328="","",COUNTIF($E$2:$E328,$E328))</f>
        <v/>
      </c>
      <c r="U328" s="1" t="str">
        <f aca="false">IF($E328="","",$E328&amp;"|"&amp;T328)</f>
        <v/>
      </c>
    </row>
    <row r="329" customFormat="false" ht="15" hidden="false" customHeight="false" outlineLevel="0" collapsed="false">
      <c r="T329" s="1" t="str">
        <f aca="false">IF($E329="","",COUNTIF($E$2:$E329,$E329))</f>
        <v/>
      </c>
      <c r="U329" s="1" t="str">
        <f aca="false">IF($E329="","",$E329&amp;"|"&amp;T329)</f>
        <v/>
      </c>
    </row>
    <row r="330" customFormat="false" ht="15" hidden="false" customHeight="false" outlineLevel="0" collapsed="false">
      <c r="T330" s="1" t="str">
        <f aca="false">IF($E330="","",COUNTIF($E$2:$E330,$E330))</f>
        <v/>
      </c>
      <c r="U330" s="1" t="str">
        <f aca="false">IF($E330="","",$E330&amp;"|"&amp;T330)</f>
        <v/>
      </c>
    </row>
    <row r="331" customFormat="false" ht="15" hidden="false" customHeight="false" outlineLevel="0" collapsed="false">
      <c r="T331" s="1" t="str">
        <f aca="false">IF($E331="","",COUNTIF($E$2:$E331,$E331))</f>
        <v/>
      </c>
      <c r="U331" s="1" t="str">
        <f aca="false">IF($E331="","",$E331&amp;"|"&amp;T331)</f>
        <v/>
      </c>
    </row>
    <row r="332" customFormat="false" ht="15" hidden="false" customHeight="false" outlineLevel="0" collapsed="false">
      <c r="T332" s="1" t="str">
        <f aca="false">IF($E332="","",COUNTIF($E$2:$E332,$E332))</f>
        <v/>
      </c>
      <c r="U332" s="1" t="str">
        <f aca="false">IF($E332="","",$E332&amp;"|"&amp;T332)</f>
        <v/>
      </c>
    </row>
    <row r="333" customFormat="false" ht="15" hidden="false" customHeight="false" outlineLevel="0" collapsed="false">
      <c r="T333" s="1" t="str">
        <f aca="false">IF($E333="","",COUNTIF($E$2:$E333,$E333))</f>
        <v/>
      </c>
      <c r="U333" s="1" t="str">
        <f aca="false">IF($E333="","",$E333&amp;"|"&amp;T333)</f>
        <v/>
      </c>
    </row>
    <row r="334" customFormat="false" ht="15" hidden="false" customHeight="false" outlineLevel="0" collapsed="false">
      <c r="T334" s="1" t="str">
        <f aca="false">IF($E334="","",COUNTIF($E$2:$E334,$E334))</f>
        <v/>
      </c>
      <c r="U334" s="1" t="str">
        <f aca="false">IF($E334="","",$E334&amp;"|"&amp;T334)</f>
        <v/>
      </c>
    </row>
    <row r="335" customFormat="false" ht="15" hidden="false" customHeight="false" outlineLevel="0" collapsed="false">
      <c r="T335" s="1" t="str">
        <f aca="false">IF($E335="","",COUNTIF($E$2:$E335,$E335))</f>
        <v/>
      </c>
      <c r="U335" s="1" t="str">
        <f aca="false">IF($E335="","",$E335&amp;"|"&amp;T335)</f>
        <v/>
      </c>
    </row>
    <row r="336" customFormat="false" ht="15" hidden="false" customHeight="false" outlineLevel="0" collapsed="false">
      <c r="T336" s="1" t="str">
        <f aca="false">IF($E336="","",COUNTIF($E$2:$E336,$E336))</f>
        <v/>
      </c>
      <c r="U336" s="1" t="str">
        <f aca="false">IF($E336="","",$E336&amp;"|"&amp;T336)</f>
        <v/>
      </c>
    </row>
    <row r="337" customFormat="false" ht="15" hidden="false" customHeight="false" outlineLevel="0" collapsed="false">
      <c r="T337" s="1" t="str">
        <f aca="false">IF($E337="","",COUNTIF($E$2:$E337,$E337))</f>
        <v/>
      </c>
      <c r="U337" s="1" t="str">
        <f aca="false">IF($E337="","",$E337&amp;"|"&amp;T337)</f>
        <v/>
      </c>
    </row>
    <row r="338" customFormat="false" ht="15" hidden="false" customHeight="false" outlineLevel="0" collapsed="false">
      <c r="T338" s="1" t="str">
        <f aca="false">IF($E338="","",COUNTIF($E$2:$E338,$E338))</f>
        <v/>
      </c>
      <c r="U338" s="1" t="str">
        <f aca="false">IF($E338="","",$E338&amp;"|"&amp;T338)</f>
        <v/>
      </c>
    </row>
    <row r="339" customFormat="false" ht="15" hidden="false" customHeight="false" outlineLevel="0" collapsed="false">
      <c r="T339" s="1" t="str">
        <f aca="false">IF($E339="","",COUNTIF($E$2:$E339,$E339))</f>
        <v/>
      </c>
      <c r="U339" s="1" t="str">
        <f aca="false">IF($E339="","",$E339&amp;"|"&amp;T339)</f>
        <v/>
      </c>
    </row>
    <row r="340" customFormat="false" ht="15" hidden="false" customHeight="false" outlineLevel="0" collapsed="false">
      <c r="T340" s="1" t="str">
        <f aca="false">IF($E340="","",COUNTIF($E$2:$E340,$E340))</f>
        <v/>
      </c>
      <c r="U340" s="1" t="str">
        <f aca="false">IF($E340="","",$E340&amp;"|"&amp;T340)</f>
        <v/>
      </c>
    </row>
    <row r="341" customFormat="false" ht="15" hidden="false" customHeight="false" outlineLevel="0" collapsed="false">
      <c r="T341" s="1" t="str">
        <f aca="false">IF($E341="","",COUNTIF($E$2:$E341,$E341))</f>
        <v/>
      </c>
      <c r="U341" s="1" t="str">
        <f aca="false">IF($E341="","",$E341&amp;"|"&amp;T341)</f>
        <v/>
      </c>
    </row>
    <row r="342" customFormat="false" ht="15" hidden="false" customHeight="false" outlineLevel="0" collapsed="false">
      <c r="T342" s="1" t="str">
        <f aca="false">IF($E342="","",COUNTIF($E$2:$E342,$E342))</f>
        <v/>
      </c>
      <c r="U342" s="1" t="str">
        <f aca="false">IF($E342="","",$E342&amp;"|"&amp;T342)</f>
        <v/>
      </c>
    </row>
    <row r="343" customFormat="false" ht="15" hidden="false" customHeight="false" outlineLevel="0" collapsed="false">
      <c r="T343" s="1" t="str">
        <f aca="false">IF($E343="","",COUNTIF($E$2:$E343,$E343))</f>
        <v/>
      </c>
      <c r="U343" s="1" t="str">
        <f aca="false">IF($E343="","",$E343&amp;"|"&amp;T343)</f>
        <v/>
      </c>
    </row>
    <row r="344" customFormat="false" ht="15" hidden="false" customHeight="false" outlineLevel="0" collapsed="false">
      <c r="T344" s="1" t="str">
        <f aca="false">IF($E344="","",COUNTIF($E$2:$E344,$E344))</f>
        <v/>
      </c>
      <c r="U344" s="1" t="str">
        <f aca="false">IF($E344="","",$E344&amp;"|"&amp;T344)</f>
        <v/>
      </c>
    </row>
    <row r="345" customFormat="false" ht="15" hidden="false" customHeight="false" outlineLevel="0" collapsed="false">
      <c r="T345" s="1" t="str">
        <f aca="false">IF($E345="","",COUNTIF($E$2:$E345,$E345))</f>
        <v/>
      </c>
      <c r="U345" s="1" t="str">
        <f aca="false">IF($E345="","",$E345&amp;"|"&amp;T345)</f>
        <v/>
      </c>
    </row>
    <row r="346" customFormat="false" ht="15" hidden="false" customHeight="false" outlineLevel="0" collapsed="false">
      <c r="T346" s="1" t="str">
        <f aca="false">IF($E346="","",COUNTIF($E$2:$E346,$E346))</f>
        <v/>
      </c>
      <c r="U346" s="1" t="str">
        <f aca="false">IF($E346="","",$E346&amp;"|"&amp;T346)</f>
        <v/>
      </c>
    </row>
    <row r="347" customFormat="false" ht="15" hidden="false" customHeight="false" outlineLevel="0" collapsed="false">
      <c r="T347" s="1" t="str">
        <f aca="false">IF($E347="","",COUNTIF($E$2:$E347,$E347))</f>
        <v/>
      </c>
      <c r="U347" s="1" t="str">
        <f aca="false">IF($E347="","",$E347&amp;"|"&amp;T347)</f>
        <v/>
      </c>
    </row>
    <row r="348" customFormat="false" ht="15" hidden="false" customHeight="false" outlineLevel="0" collapsed="false">
      <c r="T348" s="1" t="str">
        <f aca="false">IF($E348="","",COUNTIF($E$2:$E348,$E348))</f>
        <v/>
      </c>
      <c r="U348" s="1" t="str">
        <f aca="false">IF($E348="","",$E348&amp;"|"&amp;T348)</f>
        <v/>
      </c>
    </row>
    <row r="349" customFormat="false" ht="15" hidden="false" customHeight="false" outlineLevel="0" collapsed="false">
      <c r="T349" s="1" t="str">
        <f aca="false">IF($E349="","",COUNTIF($E$2:$E349,$E349))</f>
        <v/>
      </c>
      <c r="U349" s="1" t="str">
        <f aca="false">IF($E349="","",$E349&amp;"|"&amp;T349)</f>
        <v/>
      </c>
    </row>
    <row r="350" customFormat="false" ht="15" hidden="false" customHeight="false" outlineLevel="0" collapsed="false">
      <c r="T350" s="1" t="str">
        <f aca="false">IF($E350="","",COUNTIF($E$2:$E350,$E350))</f>
        <v/>
      </c>
      <c r="U350" s="1" t="str">
        <f aca="false">IF($E350="","",$E350&amp;"|"&amp;T350)</f>
        <v/>
      </c>
    </row>
    <row r="351" customFormat="false" ht="15" hidden="false" customHeight="false" outlineLevel="0" collapsed="false">
      <c r="T351" s="1" t="str">
        <f aca="false">IF($E351="","",COUNTIF($E$2:$E351,$E351))</f>
        <v/>
      </c>
      <c r="U351" s="1" t="str">
        <f aca="false">IF($E351="","",$E351&amp;"|"&amp;T351)</f>
        <v/>
      </c>
    </row>
    <row r="352" customFormat="false" ht="15" hidden="false" customHeight="false" outlineLevel="0" collapsed="false">
      <c r="T352" s="1" t="str">
        <f aca="false">IF($E352="","",COUNTIF($E$2:$E352,$E352))</f>
        <v/>
      </c>
      <c r="U352" s="1" t="str">
        <f aca="false">IF($E352="","",$E352&amp;"|"&amp;T352)</f>
        <v/>
      </c>
    </row>
    <row r="353" customFormat="false" ht="15" hidden="false" customHeight="false" outlineLevel="0" collapsed="false">
      <c r="T353" s="1" t="str">
        <f aca="false">IF($E353="","",COUNTIF($E$2:$E353,$E353))</f>
        <v/>
      </c>
      <c r="U353" s="1" t="str">
        <f aca="false">IF($E353="","",$E353&amp;"|"&amp;T353)</f>
        <v/>
      </c>
    </row>
    <row r="354" customFormat="false" ht="15" hidden="false" customHeight="false" outlineLevel="0" collapsed="false">
      <c r="T354" s="1" t="str">
        <f aca="false">IF($E354="","",COUNTIF($E$2:$E354,$E354))</f>
        <v/>
      </c>
      <c r="U354" s="1" t="str">
        <f aca="false">IF($E354="","",$E354&amp;"|"&amp;T354)</f>
        <v/>
      </c>
    </row>
    <row r="355" customFormat="false" ht="15" hidden="false" customHeight="false" outlineLevel="0" collapsed="false">
      <c r="T355" s="1" t="str">
        <f aca="false">IF($E355="","",COUNTIF($E$2:$E355,$E355))</f>
        <v/>
      </c>
      <c r="U355" s="1" t="str">
        <f aca="false">IF($E355="","",$E355&amp;"|"&amp;T355)</f>
        <v/>
      </c>
    </row>
    <row r="356" customFormat="false" ht="15" hidden="false" customHeight="false" outlineLevel="0" collapsed="false">
      <c r="T356" s="1" t="str">
        <f aca="false">IF($E356="","",COUNTIF($E$2:$E356,$E356))</f>
        <v/>
      </c>
      <c r="U356" s="1" t="str">
        <f aca="false">IF($E356="","",$E356&amp;"|"&amp;T356)</f>
        <v/>
      </c>
    </row>
    <row r="357" customFormat="false" ht="15" hidden="false" customHeight="false" outlineLevel="0" collapsed="false">
      <c r="T357" s="1" t="str">
        <f aca="false">IF($E357="","",COUNTIF($E$2:$E357,$E357))</f>
        <v/>
      </c>
      <c r="U357" s="1" t="str">
        <f aca="false">IF($E357="","",$E357&amp;"|"&amp;T357)</f>
        <v/>
      </c>
    </row>
    <row r="358" customFormat="false" ht="15" hidden="false" customHeight="false" outlineLevel="0" collapsed="false">
      <c r="T358" s="1" t="str">
        <f aca="false">IF($E358="","",COUNTIF($E$2:$E358,$E358))</f>
        <v/>
      </c>
      <c r="U358" s="1" t="str">
        <f aca="false">IF($E358="","",$E358&amp;"|"&amp;T358)</f>
        <v/>
      </c>
    </row>
    <row r="359" customFormat="false" ht="15" hidden="false" customHeight="false" outlineLevel="0" collapsed="false">
      <c r="T359" s="1" t="str">
        <f aca="false">IF($E359="","",COUNTIF($E$2:$E359,$E359))</f>
        <v/>
      </c>
      <c r="U359" s="1" t="str">
        <f aca="false">IF($E359="","",$E359&amp;"|"&amp;T359)</f>
        <v/>
      </c>
    </row>
    <row r="360" customFormat="false" ht="15" hidden="false" customHeight="false" outlineLevel="0" collapsed="false">
      <c r="T360" s="1" t="str">
        <f aca="false">IF($E360="","",COUNTIF($E$2:$E360,$E360))</f>
        <v/>
      </c>
      <c r="U360" s="1" t="str">
        <f aca="false">IF($E360="","",$E360&amp;"|"&amp;T360)</f>
        <v/>
      </c>
    </row>
    <row r="361" customFormat="false" ht="15" hidden="false" customHeight="false" outlineLevel="0" collapsed="false">
      <c r="T361" s="1" t="str">
        <f aca="false">IF($E361="","",COUNTIF($E$2:$E361,$E361))</f>
        <v/>
      </c>
      <c r="U361" s="1" t="str">
        <f aca="false">IF($E361="","",$E361&amp;"|"&amp;T361)</f>
        <v/>
      </c>
    </row>
    <row r="362" customFormat="false" ht="15" hidden="false" customHeight="false" outlineLevel="0" collapsed="false">
      <c r="T362" s="1" t="str">
        <f aca="false">IF($E362="","",COUNTIF($E$2:$E362,$E362))</f>
        <v/>
      </c>
      <c r="U362" s="1" t="str">
        <f aca="false">IF($E362="","",$E362&amp;"|"&amp;T362)</f>
        <v/>
      </c>
    </row>
    <row r="363" customFormat="false" ht="15" hidden="false" customHeight="false" outlineLevel="0" collapsed="false">
      <c r="T363" s="1" t="str">
        <f aca="false">IF($E363="","",COUNTIF($E$2:$E363,$E363))</f>
        <v/>
      </c>
      <c r="U363" s="1" t="str">
        <f aca="false">IF($E363="","",$E363&amp;"|"&amp;T363)</f>
        <v/>
      </c>
    </row>
    <row r="364" customFormat="false" ht="15" hidden="false" customHeight="false" outlineLevel="0" collapsed="false">
      <c r="T364" s="1" t="str">
        <f aca="false">IF($E364="","",COUNTIF($E$2:$E364,$E364))</f>
        <v/>
      </c>
      <c r="U364" s="1" t="str">
        <f aca="false">IF($E364="","",$E364&amp;"|"&amp;T364)</f>
        <v/>
      </c>
    </row>
    <row r="365" customFormat="false" ht="15" hidden="false" customHeight="false" outlineLevel="0" collapsed="false">
      <c r="T365" s="1" t="str">
        <f aca="false">IF($E365="","",COUNTIF($E$2:$E365,$E365))</f>
        <v/>
      </c>
      <c r="U365" s="1" t="str">
        <f aca="false">IF($E365="","",$E365&amp;"|"&amp;T365)</f>
        <v/>
      </c>
    </row>
    <row r="366" customFormat="false" ht="15" hidden="false" customHeight="false" outlineLevel="0" collapsed="false">
      <c r="T366" s="1" t="str">
        <f aca="false">IF($E366="","",COUNTIF($E$2:$E366,$E366))</f>
        <v/>
      </c>
      <c r="U366" s="1" t="str">
        <f aca="false">IF($E366="","",$E366&amp;"|"&amp;T366)</f>
        <v/>
      </c>
    </row>
    <row r="367" customFormat="false" ht="15" hidden="false" customHeight="false" outlineLevel="0" collapsed="false">
      <c r="T367" s="1" t="str">
        <f aca="false">IF($E367="","",COUNTIF($E$2:$E367,$E367))</f>
        <v/>
      </c>
      <c r="U367" s="1" t="str">
        <f aca="false">IF($E367="","",$E367&amp;"|"&amp;T367)</f>
        <v/>
      </c>
    </row>
    <row r="368" customFormat="false" ht="15" hidden="false" customHeight="false" outlineLevel="0" collapsed="false">
      <c r="T368" s="1" t="str">
        <f aca="false">IF($E368="","",COUNTIF($E$2:$E368,$E368))</f>
        <v/>
      </c>
      <c r="U368" s="1" t="str">
        <f aca="false">IF($E368="","",$E368&amp;"|"&amp;T368)</f>
        <v/>
      </c>
    </row>
    <row r="369" customFormat="false" ht="15" hidden="false" customHeight="false" outlineLevel="0" collapsed="false">
      <c r="T369" s="1" t="str">
        <f aca="false">IF($E369="","",COUNTIF($E$2:$E369,$E369))</f>
        <v/>
      </c>
      <c r="U369" s="1" t="str">
        <f aca="false">IF($E369="","",$E369&amp;"|"&amp;T369)</f>
        <v/>
      </c>
    </row>
    <row r="370" customFormat="false" ht="15" hidden="false" customHeight="false" outlineLevel="0" collapsed="false">
      <c r="T370" s="1" t="str">
        <f aca="false">IF($E370="","",COUNTIF($E$2:$E370,$E370))</f>
        <v/>
      </c>
      <c r="U370" s="1" t="str">
        <f aca="false">IF($E370="","",$E370&amp;"|"&amp;T370)</f>
        <v/>
      </c>
    </row>
    <row r="371" customFormat="false" ht="15" hidden="false" customHeight="false" outlineLevel="0" collapsed="false">
      <c r="T371" s="1" t="str">
        <f aca="false">IF($E371="","",COUNTIF($E$2:$E371,$E371))</f>
        <v/>
      </c>
      <c r="U371" s="1" t="str">
        <f aca="false">IF($E371="","",$E371&amp;"|"&amp;T371)</f>
        <v/>
      </c>
    </row>
    <row r="372" customFormat="false" ht="15" hidden="false" customHeight="false" outlineLevel="0" collapsed="false">
      <c r="T372" s="1" t="str">
        <f aca="false">IF($E372="","",COUNTIF($E$2:$E372,$E372))</f>
        <v/>
      </c>
      <c r="U372" s="1" t="str">
        <f aca="false">IF($E372="","",$E372&amp;"|"&amp;T372)</f>
        <v/>
      </c>
    </row>
    <row r="373" customFormat="false" ht="15" hidden="false" customHeight="false" outlineLevel="0" collapsed="false">
      <c r="T373" s="1" t="str">
        <f aca="false">IF($E373="","",COUNTIF($E$2:$E373,$E373))</f>
        <v/>
      </c>
      <c r="U373" s="1" t="str">
        <f aca="false">IF($E373="","",$E373&amp;"|"&amp;T373)</f>
        <v/>
      </c>
    </row>
    <row r="374" customFormat="false" ht="15" hidden="false" customHeight="false" outlineLevel="0" collapsed="false">
      <c r="T374" s="1" t="str">
        <f aca="false">IF($E374="","",COUNTIF($E$2:$E374,$E374))</f>
        <v/>
      </c>
      <c r="U374" s="1" t="str">
        <f aca="false">IF($E374="","",$E374&amp;"|"&amp;T374)</f>
        <v/>
      </c>
    </row>
    <row r="375" customFormat="false" ht="15" hidden="false" customHeight="false" outlineLevel="0" collapsed="false">
      <c r="T375" s="1" t="str">
        <f aca="false">IF($E375="","",COUNTIF($E$2:$E375,$E375))</f>
        <v/>
      </c>
      <c r="U375" s="1" t="str">
        <f aca="false">IF($E375="","",$E375&amp;"|"&amp;T375)</f>
        <v/>
      </c>
    </row>
    <row r="376" customFormat="false" ht="15" hidden="false" customHeight="false" outlineLevel="0" collapsed="false">
      <c r="T376" s="1" t="str">
        <f aca="false">IF($E376="","",COUNTIF($E$2:$E376,$E376))</f>
        <v/>
      </c>
      <c r="U376" s="1" t="str">
        <f aca="false">IF($E376="","",$E376&amp;"|"&amp;T376)</f>
        <v/>
      </c>
    </row>
    <row r="377" customFormat="false" ht="15" hidden="false" customHeight="false" outlineLevel="0" collapsed="false">
      <c r="T377" s="1" t="str">
        <f aca="false">IF($E377="","",COUNTIF($E$2:$E377,$E377))</f>
        <v/>
      </c>
      <c r="U377" s="1" t="str">
        <f aca="false">IF($E377="","",$E377&amp;"|"&amp;T377)</f>
        <v/>
      </c>
    </row>
    <row r="378" customFormat="false" ht="15" hidden="false" customHeight="false" outlineLevel="0" collapsed="false">
      <c r="T378" s="1" t="str">
        <f aca="false">IF($E378="","",COUNTIF($E$2:$E378,$E378))</f>
        <v/>
      </c>
      <c r="U378" s="1" t="str">
        <f aca="false">IF($E378="","",$E378&amp;"|"&amp;T378)</f>
        <v/>
      </c>
    </row>
    <row r="379" customFormat="false" ht="15" hidden="false" customHeight="false" outlineLevel="0" collapsed="false">
      <c r="T379" s="1" t="str">
        <f aca="false">IF($E379="","",COUNTIF($E$2:$E379,$E379))</f>
        <v/>
      </c>
      <c r="U379" s="1" t="str">
        <f aca="false">IF($E379="","",$E379&amp;"|"&amp;T379)</f>
        <v/>
      </c>
    </row>
    <row r="380" customFormat="false" ht="15" hidden="false" customHeight="false" outlineLevel="0" collapsed="false">
      <c r="T380" s="1" t="str">
        <f aca="false">IF($E380="","",COUNTIF($E$2:$E380,$E380))</f>
        <v/>
      </c>
      <c r="U380" s="1" t="str">
        <f aca="false">IF($E380="","",$E380&amp;"|"&amp;T380)</f>
        <v/>
      </c>
    </row>
    <row r="381" customFormat="false" ht="15" hidden="false" customHeight="false" outlineLevel="0" collapsed="false">
      <c r="T381" s="1" t="str">
        <f aca="false">IF($E381="","",COUNTIF($E$2:$E381,$E381))</f>
        <v/>
      </c>
      <c r="U381" s="1" t="str">
        <f aca="false">IF($E381="","",$E381&amp;"|"&amp;T381)</f>
        <v/>
      </c>
    </row>
    <row r="382" customFormat="false" ht="15" hidden="false" customHeight="false" outlineLevel="0" collapsed="false">
      <c r="T382" s="1" t="str">
        <f aca="false">IF($E382="","",COUNTIF($E$2:$E382,$E382))</f>
        <v/>
      </c>
      <c r="U382" s="1" t="str">
        <f aca="false">IF($E382="","",$E382&amp;"|"&amp;T382)</f>
        <v/>
      </c>
    </row>
    <row r="383" customFormat="false" ht="15" hidden="false" customHeight="false" outlineLevel="0" collapsed="false">
      <c r="T383" s="1" t="str">
        <f aca="false">IF($E383="","",COUNTIF($E$2:$E383,$E383))</f>
        <v/>
      </c>
      <c r="U383" s="1" t="str">
        <f aca="false">IF($E383="","",$E383&amp;"|"&amp;T383)</f>
        <v/>
      </c>
    </row>
    <row r="384" customFormat="false" ht="15" hidden="false" customHeight="false" outlineLevel="0" collapsed="false">
      <c r="T384" s="1" t="str">
        <f aca="false">IF($E384="","",COUNTIF($E$2:$E384,$E384))</f>
        <v/>
      </c>
      <c r="U384" s="1" t="str">
        <f aca="false">IF($E384="","",$E384&amp;"|"&amp;T384)</f>
        <v/>
      </c>
    </row>
    <row r="385" customFormat="false" ht="15" hidden="false" customHeight="false" outlineLevel="0" collapsed="false">
      <c r="T385" s="1" t="str">
        <f aca="false">IF($E385="","",COUNTIF($E$2:$E385,$E385))</f>
        <v/>
      </c>
      <c r="U385" s="1" t="str">
        <f aca="false">IF($E385="","",$E385&amp;"|"&amp;T385)</f>
        <v/>
      </c>
    </row>
    <row r="386" customFormat="false" ht="15" hidden="false" customHeight="false" outlineLevel="0" collapsed="false">
      <c r="T386" s="1" t="str">
        <f aca="false">IF($E386="","",COUNTIF($E$2:$E386,$E386))</f>
        <v/>
      </c>
      <c r="U386" s="1" t="str">
        <f aca="false">IF($E386="","",$E386&amp;"|"&amp;T386)</f>
        <v/>
      </c>
    </row>
    <row r="387" customFormat="false" ht="15" hidden="false" customHeight="false" outlineLevel="0" collapsed="false">
      <c r="T387" s="1" t="str">
        <f aca="false">IF($E387="","",COUNTIF($E$2:$E387,$E387))</f>
        <v/>
      </c>
      <c r="U387" s="1" t="str">
        <f aca="false">IF($E387="","",$E387&amp;"|"&amp;T387)</f>
        <v/>
      </c>
    </row>
    <row r="388" customFormat="false" ht="15" hidden="false" customHeight="false" outlineLevel="0" collapsed="false">
      <c r="T388" s="1" t="str">
        <f aca="false">IF($E388="","",COUNTIF($E$2:$E388,$E388))</f>
        <v/>
      </c>
      <c r="U388" s="1" t="str">
        <f aca="false">IF($E388="","",$E388&amp;"|"&amp;T388)</f>
        <v/>
      </c>
    </row>
    <row r="389" customFormat="false" ht="15" hidden="false" customHeight="false" outlineLevel="0" collapsed="false">
      <c r="T389" s="1" t="str">
        <f aca="false">IF($E389="","",COUNTIF($E$2:$E389,$E389))</f>
        <v/>
      </c>
      <c r="U389" s="1" t="str">
        <f aca="false">IF($E389="","",$E389&amp;"|"&amp;T389)</f>
        <v/>
      </c>
    </row>
    <row r="390" customFormat="false" ht="15" hidden="false" customHeight="false" outlineLevel="0" collapsed="false">
      <c r="T390" s="1" t="str">
        <f aca="false">IF($E390="","",COUNTIF($E$2:$E390,$E390))</f>
        <v/>
      </c>
      <c r="U390" s="1" t="str">
        <f aca="false">IF($E390="","",$E390&amp;"|"&amp;T390)</f>
        <v/>
      </c>
    </row>
    <row r="391" customFormat="false" ht="15" hidden="false" customHeight="false" outlineLevel="0" collapsed="false">
      <c r="T391" s="1" t="str">
        <f aca="false">IF($E391="","",COUNTIF($E$2:$E391,$E391))</f>
        <v/>
      </c>
      <c r="U391" s="1" t="str">
        <f aca="false">IF($E391="","",$E391&amp;"|"&amp;T391)</f>
        <v/>
      </c>
    </row>
    <row r="392" customFormat="false" ht="15" hidden="false" customHeight="false" outlineLevel="0" collapsed="false">
      <c r="T392" s="1" t="str">
        <f aca="false">IF($E392="","",COUNTIF($E$2:$E392,$E392))</f>
        <v/>
      </c>
      <c r="U392" s="1" t="str">
        <f aca="false">IF($E392="","",$E392&amp;"|"&amp;T392)</f>
        <v/>
      </c>
    </row>
    <row r="393" customFormat="false" ht="15" hidden="false" customHeight="false" outlineLevel="0" collapsed="false">
      <c r="T393" s="1" t="str">
        <f aca="false">IF($E393="","",COUNTIF($E$2:$E393,$E393))</f>
        <v/>
      </c>
      <c r="U393" s="1" t="str">
        <f aca="false">IF($E393="","",$E393&amp;"|"&amp;T393)</f>
        <v/>
      </c>
    </row>
    <row r="394" customFormat="false" ht="15" hidden="false" customHeight="false" outlineLevel="0" collapsed="false">
      <c r="T394" s="1" t="str">
        <f aca="false">IF($E394="","",COUNTIF($E$2:$E394,$E394))</f>
        <v/>
      </c>
      <c r="U394" s="1" t="str">
        <f aca="false">IF($E394="","",$E394&amp;"|"&amp;T394)</f>
        <v/>
      </c>
    </row>
    <row r="395" customFormat="false" ht="15" hidden="false" customHeight="false" outlineLevel="0" collapsed="false">
      <c r="T395" s="1" t="str">
        <f aca="false">IF($E395="","",COUNTIF($E$2:$E395,$E395))</f>
        <v/>
      </c>
      <c r="U395" s="1" t="str">
        <f aca="false">IF($E395="","",$E395&amp;"|"&amp;T395)</f>
        <v/>
      </c>
    </row>
    <row r="396" customFormat="false" ht="15" hidden="false" customHeight="false" outlineLevel="0" collapsed="false">
      <c r="T396" s="1" t="str">
        <f aca="false">IF($E396="","",COUNTIF($E$2:$E396,$E396))</f>
        <v/>
      </c>
      <c r="U396" s="1" t="str">
        <f aca="false">IF($E396="","",$E396&amp;"|"&amp;T396)</f>
        <v/>
      </c>
    </row>
    <row r="397" customFormat="false" ht="15" hidden="false" customHeight="false" outlineLevel="0" collapsed="false">
      <c r="T397" s="1" t="str">
        <f aca="false">IF($E397="","",COUNTIF($E$2:$E397,$E397))</f>
        <v/>
      </c>
      <c r="U397" s="1" t="str">
        <f aca="false">IF($E397="","",$E397&amp;"|"&amp;T397)</f>
        <v/>
      </c>
    </row>
    <row r="398" customFormat="false" ht="15" hidden="false" customHeight="false" outlineLevel="0" collapsed="false">
      <c r="T398" s="1" t="str">
        <f aca="false">IF($E398="","",COUNTIF($E$2:$E398,$E398))</f>
        <v/>
      </c>
      <c r="U398" s="1" t="str">
        <f aca="false">IF($E398="","",$E398&amp;"|"&amp;T398)</f>
        <v/>
      </c>
    </row>
    <row r="399" customFormat="false" ht="15" hidden="false" customHeight="false" outlineLevel="0" collapsed="false">
      <c r="T399" s="1" t="str">
        <f aca="false">IF($E399="","",COUNTIF($E$2:$E399,$E399))</f>
        <v/>
      </c>
      <c r="U399" s="1" t="str">
        <f aca="false">IF($E399="","",$E399&amp;"|"&amp;T399)</f>
        <v/>
      </c>
    </row>
    <row r="400" customFormat="false" ht="15" hidden="false" customHeight="false" outlineLevel="0" collapsed="false">
      <c r="T400" s="1" t="str">
        <f aca="false">IF($E400="","",COUNTIF($E$2:$E400,$E400))</f>
        <v/>
      </c>
      <c r="U400" s="1" t="str">
        <f aca="false">IF($E400="","",$E400&amp;"|"&amp;T400)</f>
        <v/>
      </c>
    </row>
    <row r="401" customFormat="false" ht="15" hidden="false" customHeight="false" outlineLevel="0" collapsed="false">
      <c r="T401" s="1" t="str">
        <f aca="false">IF($E401="","",COUNTIF($E$2:$E401,$E401))</f>
        <v/>
      </c>
      <c r="U401" s="1" t="str">
        <f aca="false">IF($E401="","",$E401&amp;"|"&amp;T401)</f>
        <v/>
      </c>
    </row>
    <row r="402" customFormat="false" ht="15" hidden="false" customHeight="false" outlineLevel="0" collapsed="false">
      <c r="T402" s="1" t="str">
        <f aca="false">IF($E402="","",COUNTIF($E$2:$E402,$E402))</f>
        <v/>
      </c>
      <c r="U402" s="1" t="str">
        <f aca="false">IF($E402="","",$E402&amp;"|"&amp;T402)</f>
        <v/>
      </c>
    </row>
    <row r="403" customFormat="false" ht="15" hidden="false" customHeight="false" outlineLevel="0" collapsed="false">
      <c r="T403" s="1" t="str">
        <f aca="false">IF($E403="","",COUNTIF($E$2:$E403,$E403))</f>
        <v/>
      </c>
      <c r="U403" s="1" t="str">
        <f aca="false">IF($E403="","",$E403&amp;"|"&amp;T403)</f>
        <v/>
      </c>
    </row>
    <row r="404" customFormat="false" ht="15" hidden="false" customHeight="false" outlineLevel="0" collapsed="false">
      <c r="T404" s="1" t="str">
        <f aca="false">IF($E404="","",COUNTIF($E$2:$E404,$E404))</f>
        <v/>
      </c>
      <c r="U404" s="1" t="str">
        <f aca="false">IF($E404="","",$E404&amp;"|"&amp;T404)</f>
        <v/>
      </c>
    </row>
    <row r="405" customFormat="false" ht="15" hidden="false" customHeight="false" outlineLevel="0" collapsed="false">
      <c r="T405" s="1" t="str">
        <f aca="false">IF($E405="","",COUNTIF($E$2:$E405,$E405))</f>
        <v/>
      </c>
      <c r="U405" s="1" t="str">
        <f aca="false">IF($E405="","",$E405&amp;"|"&amp;T405)</f>
        <v/>
      </c>
    </row>
    <row r="406" customFormat="false" ht="15" hidden="false" customHeight="false" outlineLevel="0" collapsed="false">
      <c r="T406" s="1" t="str">
        <f aca="false">IF($E406="","",COUNTIF($E$2:$E406,$E406))</f>
        <v/>
      </c>
      <c r="U406" s="1" t="str">
        <f aca="false">IF($E406="","",$E406&amp;"|"&amp;T406)</f>
        <v/>
      </c>
    </row>
    <row r="407" customFormat="false" ht="15" hidden="false" customHeight="false" outlineLevel="0" collapsed="false">
      <c r="T407" s="1" t="str">
        <f aca="false">IF($E407="","",COUNTIF($E$2:$E407,$E407))</f>
        <v/>
      </c>
      <c r="U407" s="1" t="str">
        <f aca="false">IF($E407="","",$E407&amp;"|"&amp;T407)</f>
        <v/>
      </c>
    </row>
    <row r="408" customFormat="false" ht="15" hidden="false" customHeight="false" outlineLevel="0" collapsed="false">
      <c r="T408" s="1" t="str">
        <f aca="false">IF($E408="","",COUNTIF($E$2:$E408,$E408))</f>
        <v/>
      </c>
      <c r="U408" s="1" t="str">
        <f aca="false">IF($E408="","",$E408&amp;"|"&amp;T408)</f>
        <v/>
      </c>
    </row>
    <row r="409" customFormat="false" ht="15" hidden="false" customHeight="false" outlineLevel="0" collapsed="false">
      <c r="T409" s="1" t="str">
        <f aca="false">IF($E409="","",COUNTIF($E$2:$E409,$E409))</f>
        <v/>
      </c>
      <c r="U409" s="1" t="str">
        <f aca="false">IF($E409="","",$E409&amp;"|"&amp;T409)</f>
        <v/>
      </c>
    </row>
    <row r="410" customFormat="false" ht="15" hidden="false" customHeight="false" outlineLevel="0" collapsed="false">
      <c r="T410" s="1" t="str">
        <f aca="false">IF($E410="","",COUNTIF($E$2:$E410,$E410))</f>
        <v/>
      </c>
      <c r="U410" s="1" t="str">
        <f aca="false">IF($E410="","",$E410&amp;"|"&amp;T410)</f>
        <v/>
      </c>
    </row>
    <row r="411" customFormat="false" ht="15" hidden="false" customHeight="false" outlineLevel="0" collapsed="false">
      <c r="T411" s="1" t="str">
        <f aca="false">IF($E411="","",COUNTIF($E$2:$E411,$E411))</f>
        <v/>
      </c>
      <c r="U411" s="1" t="str">
        <f aca="false">IF($E411="","",$E411&amp;"|"&amp;T411)</f>
        <v/>
      </c>
    </row>
    <row r="412" customFormat="false" ht="15" hidden="false" customHeight="false" outlineLevel="0" collapsed="false">
      <c r="T412" s="1" t="str">
        <f aca="false">IF($E412="","",COUNTIF($E$2:$E412,$E412))</f>
        <v/>
      </c>
      <c r="U412" s="1" t="str">
        <f aca="false">IF($E412="","",$E412&amp;"|"&amp;T412)</f>
        <v/>
      </c>
    </row>
    <row r="413" customFormat="false" ht="15" hidden="false" customHeight="false" outlineLevel="0" collapsed="false">
      <c r="T413" s="1" t="str">
        <f aca="false">IF($E413="","",COUNTIF($E$2:$E413,$E413))</f>
        <v/>
      </c>
      <c r="U413" s="1" t="str">
        <f aca="false">IF($E413="","",$E413&amp;"|"&amp;T413)</f>
        <v/>
      </c>
    </row>
    <row r="414" customFormat="false" ht="15" hidden="false" customHeight="false" outlineLevel="0" collapsed="false">
      <c r="T414" s="1" t="str">
        <f aca="false">IF($E414="","",COUNTIF($E$2:$E414,$E414))</f>
        <v/>
      </c>
      <c r="U414" s="1" t="str">
        <f aca="false">IF($E414="","",$E414&amp;"|"&amp;T414)</f>
        <v/>
      </c>
    </row>
    <row r="415" customFormat="false" ht="15" hidden="false" customHeight="false" outlineLevel="0" collapsed="false">
      <c r="T415" s="1" t="str">
        <f aca="false">IF($E415="","",COUNTIF($E$2:$E415,$E415))</f>
        <v/>
      </c>
      <c r="U415" s="1" t="str">
        <f aca="false">IF($E415="","",$E415&amp;"|"&amp;T415)</f>
        <v/>
      </c>
    </row>
    <row r="416" customFormat="false" ht="15" hidden="false" customHeight="false" outlineLevel="0" collapsed="false">
      <c r="T416" s="1" t="str">
        <f aca="false">IF($E416="","",COUNTIF($E$2:$E416,$E416))</f>
        <v/>
      </c>
      <c r="U416" s="1" t="str">
        <f aca="false">IF($E416="","",$E416&amp;"|"&amp;T416)</f>
        <v/>
      </c>
    </row>
    <row r="417" customFormat="false" ht="15" hidden="false" customHeight="false" outlineLevel="0" collapsed="false">
      <c r="T417" s="1" t="str">
        <f aca="false">IF($E417="","",COUNTIF($E$2:$E417,$E417))</f>
        <v/>
      </c>
      <c r="U417" s="1" t="str">
        <f aca="false">IF($E417="","",$E417&amp;"|"&amp;T417)</f>
        <v/>
      </c>
    </row>
    <row r="418" customFormat="false" ht="15" hidden="false" customHeight="false" outlineLevel="0" collapsed="false">
      <c r="T418" s="1" t="str">
        <f aca="false">IF($E418="","",COUNTIF($E$2:$E418,$E418))</f>
        <v/>
      </c>
      <c r="U418" s="1" t="str">
        <f aca="false">IF($E418="","",$E418&amp;"|"&amp;T418)</f>
        <v/>
      </c>
    </row>
    <row r="419" customFormat="false" ht="15" hidden="false" customHeight="false" outlineLevel="0" collapsed="false">
      <c r="T419" s="1" t="str">
        <f aca="false">IF($E419="","",COUNTIF($E$2:$E419,$E419))</f>
        <v/>
      </c>
      <c r="U419" s="1" t="str">
        <f aca="false">IF($E419="","",$E419&amp;"|"&amp;T419)</f>
        <v/>
      </c>
    </row>
    <row r="420" customFormat="false" ht="15" hidden="false" customHeight="false" outlineLevel="0" collapsed="false">
      <c r="T420" s="1" t="str">
        <f aca="false">IF($E420="","",COUNTIF($E$2:$E420,$E420))</f>
        <v/>
      </c>
      <c r="U420" s="1" t="str">
        <f aca="false">IF($E420="","",$E420&amp;"|"&amp;T420)</f>
        <v/>
      </c>
    </row>
    <row r="421" customFormat="false" ht="15" hidden="false" customHeight="false" outlineLevel="0" collapsed="false">
      <c r="T421" s="1" t="str">
        <f aca="false">IF($E421="","",COUNTIF($E$2:$E421,$E421))</f>
        <v/>
      </c>
      <c r="U421" s="1" t="str">
        <f aca="false">IF($E421="","",$E421&amp;"|"&amp;T421)</f>
        <v/>
      </c>
    </row>
    <row r="422" customFormat="false" ht="15" hidden="false" customHeight="false" outlineLevel="0" collapsed="false">
      <c r="T422" s="1" t="str">
        <f aca="false">IF($E422="","",COUNTIF($E$2:$E422,$E422))</f>
        <v/>
      </c>
      <c r="U422" s="1" t="str">
        <f aca="false">IF($E422="","",$E422&amp;"|"&amp;T422)</f>
        <v/>
      </c>
    </row>
    <row r="423" customFormat="false" ht="15" hidden="false" customHeight="false" outlineLevel="0" collapsed="false">
      <c r="T423" s="1" t="str">
        <f aca="false">IF($E423="","",COUNTIF($E$2:$E423,$E423))</f>
        <v/>
      </c>
      <c r="U423" s="1" t="str">
        <f aca="false">IF($E423="","",$E423&amp;"|"&amp;T423)</f>
        <v/>
      </c>
    </row>
    <row r="424" customFormat="false" ht="15" hidden="false" customHeight="false" outlineLevel="0" collapsed="false">
      <c r="T424" s="1" t="str">
        <f aca="false">IF($E424="","",COUNTIF($E$2:$E424,$E424))</f>
        <v/>
      </c>
      <c r="U424" s="1" t="str">
        <f aca="false">IF($E424="","",$E424&amp;"|"&amp;T424)</f>
        <v/>
      </c>
    </row>
    <row r="425" customFormat="false" ht="15" hidden="false" customHeight="false" outlineLevel="0" collapsed="false">
      <c r="T425" s="1" t="str">
        <f aca="false">IF($E425="","",COUNTIF($E$2:$E425,$E425))</f>
        <v/>
      </c>
      <c r="U425" s="1" t="str">
        <f aca="false">IF($E425="","",$E425&amp;"|"&amp;T425)</f>
        <v/>
      </c>
    </row>
    <row r="426" customFormat="false" ht="15" hidden="false" customHeight="false" outlineLevel="0" collapsed="false">
      <c r="T426" s="1" t="str">
        <f aca="false">IF($E426="","",COUNTIF($E$2:$E426,$E426))</f>
        <v/>
      </c>
      <c r="U426" s="1" t="str">
        <f aca="false">IF($E426="","",$E426&amp;"|"&amp;T426)</f>
        <v/>
      </c>
    </row>
    <row r="427" customFormat="false" ht="15" hidden="false" customHeight="false" outlineLevel="0" collapsed="false">
      <c r="T427" s="1" t="str">
        <f aca="false">IF($E427="","",COUNTIF($E$2:$E427,$E427))</f>
        <v/>
      </c>
      <c r="U427" s="1" t="str">
        <f aca="false">IF($E427="","",$E427&amp;"|"&amp;T427)</f>
        <v/>
      </c>
    </row>
    <row r="428" customFormat="false" ht="15" hidden="false" customHeight="false" outlineLevel="0" collapsed="false">
      <c r="T428" s="1" t="str">
        <f aca="false">IF($E428="","",COUNTIF($E$2:$E428,$E428))</f>
        <v/>
      </c>
      <c r="U428" s="1" t="str">
        <f aca="false">IF($E428="","",$E428&amp;"|"&amp;T428)</f>
        <v/>
      </c>
    </row>
    <row r="429" customFormat="false" ht="15" hidden="false" customHeight="false" outlineLevel="0" collapsed="false">
      <c r="T429" s="1" t="str">
        <f aca="false">IF($E429="","",COUNTIF($E$2:$E429,$E429))</f>
        <v/>
      </c>
      <c r="U429" s="1" t="str">
        <f aca="false">IF($E429="","",$E429&amp;"|"&amp;T429)</f>
        <v/>
      </c>
    </row>
    <row r="430" customFormat="false" ht="15" hidden="false" customHeight="false" outlineLevel="0" collapsed="false">
      <c r="T430" s="1" t="str">
        <f aca="false">IF($E430="","",COUNTIF($E$2:$E430,$E430))</f>
        <v/>
      </c>
      <c r="U430" s="1" t="str">
        <f aca="false">IF($E430="","",$E430&amp;"|"&amp;T430)</f>
        <v/>
      </c>
    </row>
    <row r="431" customFormat="false" ht="15" hidden="false" customHeight="false" outlineLevel="0" collapsed="false">
      <c r="T431" s="1" t="str">
        <f aca="false">IF($E431="","",COUNTIF($E$2:$E431,$E431))</f>
        <v/>
      </c>
      <c r="U431" s="1" t="str">
        <f aca="false">IF($E431="","",$E431&amp;"|"&amp;T431)</f>
        <v/>
      </c>
    </row>
    <row r="432" customFormat="false" ht="15" hidden="false" customHeight="false" outlineLevel="0" collapsed="false">
      <c r="T432" s="1" t="str">
        <f aca="false">IF($E432="","",COUNTIF($E$2:$E432,$E432))</f>
        <v/>
      </c>
      <c r="U432" s="1" t="str">
        <f aca="false">IF($E432="","",$E432&amp;"|"&amp;T432)</f>
        <v/>
      </c>
    </row>
    <row r="433" customFormat="false" ht="15" hidden="false" customHeight="false" outlineLevel="0" collapsed="false">
      <c r="T433" s="1" t="str">
        <f aca="false">IF($E433="","",COUNTIF($E$2:$E433,$E433))</f>
        <v/>
      </c>
      <c r="U433" s="1" t="str">
        <f aca="false">IF($E433="","",$E433&amp;"|"&amp;T433)</f>
        <v/>
      </c>
    </row>
    <row r="434" customFormat="false" ht="15" hidden="false" customHeight="false" outlineLevel="0" collapsed="false">
      <c r="T434" s="1" t="str">
        <f aca="false">IF($E434="","",COUNTIF($E$2:$E434,$E434))</f>
        <v/>
      </c>
      <c r="U434" s="1" t="str">
        <f aca="false">IF($E434="","",$E434&amp;"|"&amp;T434)</f>
        <v/>
      </c>
    </row>
    <row r="435" customFormat="false" ht="15" hidden="false" customHeight="false" outlineLevel="0" collapsed="false">
      <c r="T435" s="1" t="str">
        <f aca="false">IF($E435="","",COUNTIF($E$2:$E435,$E435))</f>
        <v/>
      </c>
      <c r="U435" s="1" t="str">
        <f aca="false">IF($E435="","",$E435&amp;"|"&amp;T435)</f>
        <v/>
      </c>
    </row>
    <row r="436" customFormat="false" ht="15" hidden="false" customHeight="false" outlineLevel="0" collapsed="false">
      <c r="T436" s="1" t="str">
        <f aca="false">IF($E436="","",COUNTIF($E$2:$E436,$E436))</f>
        <v/>
      </c>
      <c r="U436" s="1" t="str">
        <f aca="false">IF($E436="","",$E436&amp;"|"&amp;T436)</f>
        <v/>
      </c>
    </row>
    <row r="437" customFormat="false" ht="15" hidden="false" customHeight="false" outlineLevel="0" collapsed="false">
      <c r="T437" s="1" t="str">
        <f aca="false">IF($E437="","",COUNTIF($E$2:$E437,$E437))</f>
        <v/>
      </c>
      <c r="U437" s="1" t="str">
        <f aca="false">IF($E437="","",$E437&amp;"|"&amp;T437)</f>
        <v/>
      </c>
    </row>
    <row r="438" customFormat="false" ht="15" hidden="false" customHeight="false" outlineLevel="0" collapsed="false">
      <c r="T438" s="1" t="str">
        <f aca="false">IF($E438="","",COUNTIF($E$2:$E438,$E438))</f>
        <v/>
      </c>
      <c r="U438" s="1" t="str">
        <f aca="false">IF($E438="","",$E438&amp;"|"&amp;T438)</f>
        <v/>
      </c>
    </row>
    <row r="439" customFormat="false" ht="15" hidden="false" customHeight="false" outlineLevel="0" collapsed="false">
      <c r="T439" s="1" t="str">
        <f aca="false">IF($E439="","",COUNTIF($E$2:$E439,$E439))</f>
        <v/>
      </c>
      <c r="U439" s="1" t="str">
        <f aca="false">IF($E439="","",$E439&amp;"|"&amp;T439)</f>
        <v/>
      </c>
    </row>
    <row r="440" customFormat="false" ht="15" hidden="false" customHeight="false" outlineLevel="0" collapsed="false">
      <c r="T440" s="1" t="str">
        <f aca="false">IF($E440="","",COUNTIF($E$2:$E440,$E440))</f>
        <v/>
      </c>
      <c r="U440" s="1" t="str">
        <f aca="false">IF($E440="","",$E440&amp;"|"&amp;T440)</f>
        <v/>
      </c>
    </row>
    <row r="441" customFormat="false" ht="15" hidden="false" customHeight="false" outlineLevel="0" collapsed="false">
      <c r="T441" s="1" t="str">
        <f aca="false">IF($E441="","",COUNTIF($E$2:$E441,$E441))</f>
        <v/>
      </c>
      <c r="U441" s="1" t="str">
        <f aca="false">IF($E441="","",$E441&amp;"|"&amp;T441)</f>
        <v/>
      </c>
    </row>
    <row r="442" customFormat="false" ht="15" hidden="false" customHeight="false" outlineLevel="0" collapsed="false">
      <c r="T442" s="1" t="str">
        <f aca="false">IF($E442="","",COUNTIF($E$2:$E442,$E442))</f>
        <v/>
      </c>
      <c r="U442" s="1" t="str">
        <f aca="false">IF($E442="","",$E442&amp;"|"&amp;T442)</f>
        <v/>
      </c>
    </row>
    <row r="443" customFormat="false" ht="15" hidden="false" customHeight="false" outlineLevel="0" collapsed="false">
      <c r="T443" s="1" t="str">
        <f aca="false">IF($E443="","",COUNTIF($E$2:$E443,$E443))</f>
        <v/>
      </c>
      <c r="U443" s="1" t="str">
        <f aca="false">IF($E443="","",$E443&amp;"|"&amp;T443)</f>
        <v/>
      </c>
    </row>
    <row r="444" customFormat="false" ht="15" hidden="false" customHeight="false" outlineLevel="0" collapsed="false">
      <c r="T444" s="1" t="str">
        <f aca="false">IF($E444="","",COUNTIF($E$2:$E444,$E444))</f>
        <v/>
      </c>
      <c r="U444" s="1" t="str">
        <f aca="false">IF($E444="","",$E444&amp;"|"&amp;T444)</f>
        <v/>
      </c>
    </row>
    <row r="445" customFormat="false" ht="15" hidden="false" customHeight="false" outlineLevel="0" collapsed="false">
      <c r="T445" s="1" t="str">
        <f aca="false">IF($E445="","",COUNTIF($E$2:$E445,$E445))</f>
        <v/>
      </c>
      <c r="U445" s="1" t="str">
        <f aca="false">IF($E445="","",$E445&amp;"|"&amp;T445)</f>
        <v/>
      </c>
    </row>
    <row r="446" customFormat="false" ht="15" hidden="false" customHeight="false" outlineLevel="0" collapsed="false">
      <c r="T446" s="1" t="str">
        <f aca="false">IF($E446="","",COUNTIF($E$2:$E446,$E446))</f>
        <v/>
      </c>
      <c r="U446" s="1" t="str">
        <f aca="false">IF($E446="","",$E446&amp;"|"&amp;T446)</f>
        <v/>
      </c>
    </row>
    <row r="447" customFormat="false" ht="15" hidden="false" customHeight="false" outlineLevel="0" collapsed="false">
      <c r="T447" s="1" t="str">
        <f aca="false">IF($E447="","",COUNTIF($E$2:$E447,$E447))</f>
        <v/>
      </c>
      <c r="U447" s="1" t="str">
        <f aca="false">IF($E447="","",$E447&amp;"|"&amp;T447)</f>
        <v/>
      </c>
    </row>
    <row r="448" customFormat="false" ht="15" hidden="false" customHeight="false" outlineLevel="0" collapsed="false">
      <c r="T448" s="1" t="str">
        <f aca="false">IF($E448="","",COUNTIF($E$2:$E448,$E448))</f>
        <v/>
      </c>
      <c r="U448" s="1" t="str">
        <f aca="false">IF($E448="","",$E448&amp;"|"&amp;T448)</f>
        <v/>
      </c>
    </row>
    <row r="449" customFormat="false" ht="15" hidden="false" customHeight="false" outlineLevel="0" collapsed="false">
      <c r="T449" s="1" t="str">
        <f aca="false">IF($E449="","",COUNTIF($E$2:$E449,$E449))</f>
        <v/>
      </c>
      <c r="U449" s="1" t="str">
        <f aca="false">IF($E449="","",$E449&amp;"|"&amp;T449)</f>
        <v/>
      </c>
    </row>
    <row r="450" customFormat="false" ht="15" hidden="false" customHeight="false" outlineLevel="0" collapsed="false">
      <c r="T450" s="1" t="str">
        <f aca="false">IF($E450="","",COUNTIF($E$2:$E450,$E450))</f>
        <v/>
      </c>
      <c r="U450" s="1" t="str">
        <f aca="false">IF($E450="","",$E450&amp;"|"&amp;T450)</f>
        <v/>
      </c>
    </row>
    <row r="451" customFormat="false" ht="15" hidden="false" customHeight="false" outlineLevel="0" collapsed="false">
      <c r="T451" s="1" t="str">
        <f aca="false">IF($E451="","",COUNTIF($E$2:$E451,$E451))</f>
        <v/>
      </c>
      <c r="U451" s="1" t="str">
        <f aca="false">IF($E451="","",$E451&amp;"|"&amp;T451)</f>
        <v/>
      </c>
    </row>
    <row r="452" customFormat="false" ht="15" hidden="false" customHeight="false" outlineLevel="0" collapsed="false">
      <c r="T452" s="1" t="str">
        <f aca="false">IF($E452="","",COUNTIF($E$2:$E452,$E452))</f>
        <v/>
      </c>
      <c r="U452" s="1" t="str">
        <f aca="false">IF($E452="","",$E452&amp;"|"&amp;T452)</f>
        <v/>
      </c>
    </row>
    <row r="453" customFormat="false" ht="15" hidden="false" customHeight="false" outlineLevel="0" collapsed="false">
      <c r="T453" s="1" t="str">
        <f aca="false">IF($E453="","",COUNTIF($E$2:$E453,$E453))</f>
        <v/>
      </c>
      <c r="U453" s="1" t="str">
        <f aca="false">IF($E453="","",$E453&amp;"|"&amp;T453)</f>
        <v/>
      </c>
    </row>
    <row r="454" customFormat="false" ht="15" hidden="false" customHeight="false" outlineLevel="0" collapsed="false">
      <c r="T454" s="1" t="str">
        <f aca="false">IF($E454="","",COUNTIF($E$2:$E454,$E454))</f>
        <v/>
      </c>
      <c r="U454" s="1" t="str">
        <f aca="false">IF($E454="","",$E454&amp;"|"&amp;T454)</f>
        <v/>
      </c>
    </row>
    <row r="455" customFormat="false" ht="15" hidden="false" customHeight="false" outlineLevel="0" collapsed="false">
      <c r="T455" s="1" t="str">
        <f aca="false">IF($E455="","",COUNTIF($E$2:$E455,$E455))</f>
        <v/>
      </c>
      <c r="U455" s="1" t="str">
        <f aca="false">IF($E455="","",$E455&amp;"|"&amp;T455)</f>
        <v/>
      </c>
    </row>
    <row r="456" customFormat="false" ht="15" hidden="false" customHeight="false" outlineLevel="0" collapsed="false">
      <c r="T456" s="1" t="str">
        <f aca="false">IF($E456="","",COUNTIF($E$2:$E456,$E456))</f>
        <v/>
      </c>
      <c r="U456" s="1" t="str">
        <f aca="false">IF($E456="","",$E456&amp;"|"&amp;T456)</f>
        <v/>
      </c>
    </row>
    <row r="457" customFormat="false" ht="15" hidden="false" customHeight="false" outlineLevel="0" collapsed="false">
      <c r="T457" s="1" t="str">
        <f aca="false">IF($E457="","",COUNTIF($E$2:$E457,$E457))</f>
        <v/>
      </c>
      <c r="U457" s="1" t="str">
        <f aca="false">IF($E457="","",$E457&amp;"|"&amp;T457)</f>
        <v/>
      </c>
    </row>
    <row r="458" customFormat="false" ht="15" hidden="false" customHeight="false" outlineLevel="0" collapsed="false">
      <c r="T458" s="1" t="str">
        <f aca="false">IF($E458="","",COUNTIF($E$2:$E458,$E458))</f>
        <v/>
      </c>
      <c r="U458" s="1" t="str">
        <f aca="false">IF($E458="","",$E458&amp;"|"&amp;T458)</f>
        <v/>
      </c>
    </row>
    <row r="459" customFormat="false" ht="15" hidden="false" customHeight="false" outlineLevel="0" collapsed="false">
      <c r="T459" s="1" t="str">
        <f aca="false">IF($E459="","",COUNTIF($E$2:$E459,$E459))</f>
        <v/>
      </c>
      <c r="U459" s="1" t="str">
        <f aca="false">IF($E459="","",$E459&amp;"|"&amp;T459)</f>
        <v/>
      </c>
    </row>
    <row r="460" customFormat="false" ht="15" hidden="false" customHeight="false" outlineLevel="0" collapsed="false">
      <c r="T460" s="1" t="str">
        <f aca="false">IF($E460="","",COUNTIF($E$2:$E460,$E460))</f>
        <v/>
      </c>
      <c r="U460" s="1" t="str">
        <f aca="false">IF($E460="","",$E460&amp;"|"&amp;T460)</f>
        <v/>
      </c>
    </row>
    <row r="461" customFormat="false" ht="15" hidden="false" customHeight="false" outlineLevel="0" collapsed="false">
      <c r="T461" s="1" t="str">
        <f aca="false">IF($E461="","",COUNTIF($E$2:$E461,$E461))</f>
        <v/>
      </c>
      <c r="U461" s="1" t="str">
        <f aca="false">IF($E461="","",$E461&amp;"|"&amp;T461)</f>
        <v/>
      </c>
    </row>
    <row r="462" customFormat="false" ht="15" hidden="false" customHeight="false" outlineLevel="0" collapsed="false">
      <c r="T462" s="1" t="str">
        <f aca="false">IF($E462="","",COUNTIF($E$2:$E462,$E462))</f>
        <v/>
      </c>
      <c r="U462" s="1" t="str">
        <f aca="false">IF($E462="","",$E462&amp;"|"&amp;T462)</f>
        <v/>
      </c>
    </row>
    <row r="463" customFormat="false" ht="15" hidden="false" customHeight="false" outlineLevel="0" collapsed="false">
      <c r="T463" s="1" t="str">
        <f aca="false">IF($E463="","",COUNTIF($E$2:$E463,$E463))</f>
        <v/>
      </c>
      <c r="U463" s="1" t="str">
        <f aca="false">IF($E463="","",$E463&amp;"|"&amp;T463)</f>
        <v/>
      </c>
    </row>
    <row r="464" customFormat="false" ht="15" hidden="false" customHeight="false" outlineLevel="0" collapsed="false">
      <c r="T464" s="1" t="str">
        <f aca="false">IF($E464="","",COUNTIF($E$2:$E464,$E464))</f>
        <v/>
      </c>
      <c r="U464" s="1" t="str">
        <f aca="false">IF($E464="","",$E464&amp;"|"&amp;T464)</f>
        <v/>
      </c>
    </row>
    <row r="465" customFormat="false" ht="15" hidden="false" customHeight="false" outlineLevel="0" collapsed="false">
      <c r="T465" s="1" t="str">
        <f aca="false">IF($E465="","",COUNTIF($E$2:$E465,$E465))</f>
        <v/>
      </c>
      <c r="U465" s="1" t="str">
        <f aca="false">IF($E465="","",$E465&amp;"|"&amp;T465)</f>
        <v/>
      </c>
    </row>
    <row r="466" customFormat="false" ht="15" hidden="false" customHeight="false" outlineLevel="0" collapsed="false">
      <c r="T466" s="1" t="str">
        <f aca="false">IF($E466="","",COUNTIF($E$2:$E466,$E466))</f>
        <v/>
      </c>
      <c r="U466" s="1" t="str">
        <f aca="false">IF($E466="","",$E466&amp;"|"&amp;T466)</f>
        <v/>
      </c>
    </row>
    <row r="467" customFormat="false" ht="15" hidden="false" customHeight="false" outlineLevel="0" collapsed="false">
      <c r="T467" s="1" t="str">
        <f aca="false">IF($E467="","",COUNTIF($E$2:$E467,$E467))</f>
        <v/>
      </c>
      <c r="U467" s="1" t="str">
        <f aca="false">IF($E467="","",$E467&amp;"|"&amp;T467)</f>
        <v/>
      </c>
    </row>
    <row r="468" customFormat="false" ht="15" hidden="false" customHeight="false" outlineLevel="0" collapsed="false">
      <c r="T468" s="1" t="str">
        <f aca="false">IF($E468="","",COUNTIF($E$2:$E468,$E468))</f>
        <v/>
      </c>
      <c r="U468" s="1" t="str">
        <f aca="false">IF($E468="","",$E468&amp;"|"&amp;T468)</f>
        <v/>
      </c>
    </row>
    <row r="469" customFormat="false" ht="15" hidden="false" customHeight="false" outlineLevel="0" collapsed="false">
      <c r="T469" s="1" t="str">
        <f aca="false">IF($E469="","",COUNTIF($E$2:$E469,$E469))</f>
        <v/>
      </c>
      <c r="U469" s="1" t="str">
        <f aca="false">IF($E469="","",$E469&amp;"|"&amp;T469)</f>
        <v/>
      </c>
    </row>
    <row r="470" customFormat="false" ht="15" hidden="false" customHeight="false" outlineLevel="0" collapsed="false">
      <c r="T470" s="1" t="str">
        <f aca="false">IF($E470="","",COUNTIF($E$2:$E470,$E470))</f>
        <v/>
      </c>
      <c r="U470" s="1" t="str">
        <f aca="false">IF($E470="","",$E470&amp;"|"&amp;T470)</f>
        <v/>
      </c>
    </row>
    <row r="471" customFormat="false" ht="15" hidden="false" customHeight="false" outlineLevel="0" collapsed="false">
      <c r="T471" s="1" t="str">
        <f aca="false">IF($E471="","",COUNTIF($E$2:$E471,$E471))</f>
        <v/>
      </c>
      <c r="U471" s="1" t="str">
        <f aca="false">IF($E471="","",$E471&amp;"|"&amp;T471)</f>
        <v/>
      </c>
    </row>
    <row r="472" customFormat="false" ht="15" hidden="false" customHeight="false" outlineLevel="0" collapsed="false">
      <c r="T472" s="1" t="str">
        <f aca="false">IF($E472="","",COUNTIF($E$2:$E472,$E472))</f>
        <v/>
      </c>
      <c r="U472" s="1" t="str">
        <f aca="false">IF($E472="","",$E472&amp;"|"&amp;T472)</f>
        <v/>
      </c>
    </row>
    <row r="473" customFormat="false" ht="15" hidden="false" customHeight="false" outlineLevel="0" collapsed="false">
      <c r="T473" s="1" t="str">
        <f aca="false">IF($E473="","",COUNTIF($E$2:$E473,$E473))</f>
        <v/>
      </c>
      <c r="U473" s="1" t="str">
        <f aca="false">IF($E473="","",$E473&amp;"|"&amp;T473)</f>
        <v/>
      </c>
    </row>
    <row r="474" customFormat="false" ht="15" hidden="false" customHeight="false" outlineLevel="0" collapsed="false">
      <c r="T474" s="1" t="str">
        <f aca="false">IF($E474="","",COUNTIF($E$2:$E474,$E474))</f>
        <v/>
      </c>
      <c r="U474" s="1" t="str">
        <f aca="false">IF($E474="","",$E474&amp;"|"&amp;T474)</f>
        <v/>
      </c>
    </row>
    <row r="475" customFormat="false" ht="15" hidden="false" customHeight="false" outlineLevel="0" collapsed="false">
      <c r="T475" s="1" t="str">
        <f aca="false">IF($E475="","",COUNTIF($E$2:$E475,$E475))</f>
        <v/>
      </c>
      <c r="U475" s="1" t="str">
        <f aca="false">IF($E475="","",$E475&amp;"|"&amp;T475)</f>
        <v/>
      </c>
    </row>
    <row r="476" customFormat="false" ht="15" hidden="false" customHeight="false" outlineLevel="0" collapsed="false">
      <c r="T476" s="1" t="str">
        <f aca="false">IF($E476="","",COUNTIF($E$2:$E476,$E476))</f>
        <v/>
      </c>
      <c r="U476" s="1" t="str">
        <f aca="false">IF($E476="","",$E476&amp;"|"&amp;T476)</f>
        <v/>
      </c>
    </row>
    <row r="477" customFormat="false" ht="15" hidden="false" customHeight="false" outlineLevel="0" collapsed="false">
      <c r="T477" s="1" t="str">
        <f aca="false">IF($E477="","",COUNTIF($E$2:$E477,$E477))</f>
        <v/>
      </c>
      <c r="U477" s="1" t="str">
        <f aca="false">IF($E477="","",$E477&amp;"|"&amp;T477)</f>
        <v/>
      </c>
    </row>
    <row r="478" customFormat="false" ht="15" hidden="false" customHeight="false" outlineLevel="0" collapsed="false">
      <c r="T478" s="1" t="str">
        <f aca="false">IF($E478="","",COUNTIF($E$2:$E478,$E478))</f>
        <v/>
      </c>
      <c r="U478" s="1" t="str">
        <f aca="false">IF($E478="","",$E478&amp;"|"&amp;T478)</f>
        <v/>
      </c>
    </row>
    <row r="479" customFormat="false" ht="15" hidden="false" customHeight="false" outlineLevel="0" collapsed="false">
      <c r="T479" s="1" t="str">
        <f aca="false">IF($E479="","",COUNTIF($E$2:$E479,$E479))</f>
        <v/>
      </c>
      <c r="U479" s="1" t="str">
        <f aca="false">IF($E479="","",$E479&amp;"|"&amp;T479)</f>
        <v/>
      </c>
    </row>
    <row r="480" customFormat="false" ht="15" hidden="false" customHeight="false" outlineLevel="0" collapsed="false">
      <c r="T480" s="1" t="str">
        <f aca="false">IF($E480="","",COUNTIF($E$2:$E480,$E480))</f>
        <v/>
      </c>
      <c r="U480" s="1" t="str">
        <f aca="false">IF($E480="","",$E480&amp;"|"&amp;T480)</f>
        <v/>
      </c>
    </row>
    <row r="481" customFormat="false" ht="15" hidden="false" customHeight="false" outlineLevel="0" collapsed="false">
      <c r="T481" s="1" t="str">
        <f aca="false">IF($E481="","",COUNTIF($E$2:$E481,$E481))</f>
        <v/>
      </c>
      <c r="U481" s="1" t="str">
        <f aca="false">IF($E481="","",$E481&amp;"|"&amp;T481)</f>
        <v/>
      </c>
    </row>
    <row r="482" customFormat="false" ht="15" hidden="false" customHeight="false" outlineLevel="0" collapsed="false">
      <c r="T482" s="1" t="str">
        <f aca="false">IF($E482="","",COUNTIF($E$2:$E482,$E482))</f>
        <v/>
      </c>
      <c r="U482" s="1" t="str">
        <f aca="false">IF($E482="","",$E482&amp;"|"&amp;T482)</f>
        <v/>
      </c>
    </row>
    <row r="483" customFormat="false" ht="15" hidden="false" customHeight="false" outlineLevel="0" collapsed="false">
      <c r="T483" s="1" t="str">
        <f aca="false">IF($E483="","",COUNTIF($E$2:$E483,$E483))</f>
        <v/>
      </c>
      <c r="U483" s="1" t="str">
        <f aca="false">IF($E483="","",$E483&amp;"|"&amp;T483)</f>
        <v/>
      </c>
    </row>
    <row r="484" customFormat="false" ht="15" hidden="false" customHeight="false" outlineLevel="0" collapsed="false">
      <c r="T484" s="1" t="str">
        <f aca="false">IF($E484="","",COUNTIF($E$2:$E484,$E484))</f>
        <v/>
      </c>
      <c r="U484" s="1" t="str">
        <f aca="false">IF($E484="","",$E484&amp;"|"&amp;T484)</f>
        <v/>
      </c>
    </row>
    <row r="485" customFormat="false" ht="15" hidden="false" customHeight="false" outlineLevel="0" collapsed="false">
      <c r="T485" s="1" t="str">
        <f aca="false">IF($E485="","",COUNTIF($E$2:$E485,$E485))</f>
        <v/>
      </c>
      <c r="U485" s="1" t="str">
        <f aca="false">IF($E485="","",$E485&amp;"|"&amp;T485)</f>
        <v/>
      </c>
    </row>
    <row r="486" customFormat="false" ht="15" hidden="false" customHeight="false" outlineLevel="0" collapsed="false">
      <c r="T486" s="1" t="str">
        <f aca="false">IF($E486="","",COUNTIF($E$2:$E486,$E486))</f>
        <v/>
      </c>
      <c r="U486" s="1" t="str">
        <f aca="false">IF($E486="","",$E486&amp;"|"&amp;T486)</f>
        <v/>
      </c>
    </row>
    <row r="487" customFormat="false" ht="15" hidden="false" customHeight="false" outlineLevel="0" collapsed="false">
      <c r="T487" s="1" t="str">
        <f aca="false">IF($E487="","",COUNTIF($E$2:$E487,$E487))</f>
        <v/>
      </c>
      <c r="U487" s="1" t="str">
        <f aca="false">IF($E487="","",$E487&amp;"|"&amp;T487)</f>
        <v/>
      </c>
    </row>
    <row r="488" customFormat="false" ht="15" hidden="false" customHeight="false" outlineLevel="0" collapsed="false">
      <c r="T488" s="1" t="str">
        <f aca="false">IF($E488="","",COUNTIF($E$2:$E488,$E488))</f>
        <v/>
      </c>
      <c r="U488" s="1" t="str">
        <f aca="false">IF($E488="","",$E488&amp;"|"&amp;T488)</f>
        <v/>
      </c>
    </row>
    <row r="489" customFormat="false" ht="15" hidden="false" customHeight="false" outlineLevel="0" collapsed="false">
      <c r="T489" s="1" t="str">
        <f aca="false">IF($E489="","",COUNTIF($E$2:$E489,$E489))</f>
        <v/>
      </c>
      <c r="U489" s="1" t="str">
        <f aca="false">IF($E489="","",$E489&amp;"|"&amp;T489)</f>
        <v/>
      </c>
    </row>
    <row r="490" customFormat="false" ht="15" hidden="false" customHeight="false" outlineLevel="0" collapsed="false">
      <c r="T490" s="1" t="str">
        <f aca="false">IF($E490="","",COUNTIF($E$2:$E490,$E490))</f>
        <v/>
      </c>
      <c r="U490" s="1" t="str">
        <f aca="false">IF($E490="","",$E490&amp;"|"&amp;T490)</f>
        <v/>
      </c>
    </row>
    <row r="491" customFormat="false" ht="15" hidden="false" customHeight="false" outlineLevel="0" collapsed="false">
      <c r="T491" s="1" t="str">
        <f aca="false">IF($E491="","",COUNTIF($E$2:$E491,$E491))</f>
        <v/>
      </c>
      <c r="U491" s="1" t="str">
        <f aca="false">IF($E491="","",$E491&amp;"|"&amp;T491)</f>
        <v/>
      </c>
    </row>
    <row r="492" customFormat="false" ht="15" hidden="false" customHeight="false" outlineLevel="0" collapsed="false">
      <c r="T492" s="1" t="str">
        <f aca="false">IF($E492="","",COUNTIF($E$2:$E492,$E492))</f>
        <v/>
      </c>
      <c r="U492" s="1" t="str">
        <f aca="false">IF($E492="","",$E492&amp;"|"&amp;T492)</f>
        <v/>
      </c>
    </row>
    <row r="493" customFormat="false" ht="15" hidden="false" customHeight="false" outlineLevel="0" collapsed="false">
      <c r="T493" s="1" t="str">
        <f aca="false">IF($E493="","",COUNTIF($E$2:$E493,$E493))</f>
        <v/>
      </c>
      <c r="U493" s="1" t="str">
        <f aca="false">IF($E493="","",$E493&amp;"|"&amp;T493)</f>
        <v/>
      </c>
    </row>
    <row r="494" customFormat="false" ht="15" hidden="false" customHeight="false" outlineLevel="0" collapsed="false">
      <c r="T494" s="1" t="str">
        <f aca="false">IF($E494="","",COUNTIF($E$2:$E494,$E494))</f>
        <v/>
      </c>
      <c r="U494" s="1" t="str">
        <f aca="false">IF($E494="","",$E494&amp;"|"&amp;T494)</f>
        <v/>
      </c>
    </row>
    <row r="495" customFormat="false" ht="15" hidden="false" customHeight="false" outlineLevel="0" collapsed="false">
      <c r="T495" s="1" t="str">
        <f aca="false">IF($E495="","",COUNTIF($E$2:$E495,$E495))</f>
        <v/>
      </c>
      <c r="U495" s="1" t="str">
        <f aca="false">IF($E495="","",$E495&amp;"|"&amp;T495)</f>
        <v/>
      </c>
    </row>
    <row r="496" customFormat="false" ht="15" hidden="false" customHeight="false" outlineLevel="0" collapsed="false">
      <c r="T496" s="1" t="str">
        <f aca="false">IF($E496="","",COUNTIF($E$2:$E496,$E496))</f>
        <v/>
      </c>
      <c r="U496" s="1" t="str">
        <f aca="false">IF($E496="","",$E496&amp;"|"&amp;T496)</f>
        <v/>
      </c>
    </row>
    <row r="497" customFormat="false" ht="15" hidden="false" customHeight="false" outlineLevel="0" collapsed="false">
      <c r="T497" s="1" t="str">
        <f aca="false">IF($E497="","",COUNTIF($E$2:$E497,$E497))</f>
        <v/>
      </c>
      <c r="U497" s="1" t="str">
        <f aca="false">IF($E497="","",$E497&amp;"|"&amp;T497)</f>
        <v/>
      </c>
    </row>
    <row r="498" customFormat="false" ht="15" hidden="false" customHeight="false" outlineLevel="0" collapsed="false">
      <c r="T498" s="1" t="str">
        <f aca="false">IF($E498="","",COUNTIF($E$2:$E498,$E498))</f>
        <v/>
      </c>
      <c r="U498" s="1" t="str">
        <f aca="false">IF($E498="","",$E498&amp;"|"&amp;T498)</f>
        <v/>
      </c>
    </row>
    <row r="499" customFormat="false" ht="15" hidden="false" customHeight="false" outlineLevel="0" collapsed="false">
      <c r="T499" s="1" t="str">
        <f aca="false">IF($E499="","",COUNTIF($E$2:$E499,$E499))</f>
        <v/>
      </c>
      <c r="U499" s="1" t="str">
        <f aca="false">IF($E499="","",$E499&amp;"|"&amp;T499)</f>
        <v/>
      </c>
    </row>
    <row r="500" customFormat="false" ht="15" hidden="false" customHeight="false" outlineLevel="0" collapsed="false">
      <c r="T500" s="1" t="str">
        <f aca="false">IF($E500="","",COUNTIF($E$2:$E500,$E500))</f>
        <v/>
      </c>
      <c r="U500" s="1" t="str">
        <f aca="false">IF($E500="","",$E500&amp;"|"&amp;T500)</f>
        <v/>
      </c>
    </row>
    <row r="501" customFormat="false" ht="15" hidden="false" customHeight="false" outlineLevel="0" collapsed="false">
      <c r="T501" s="1" t="str">
        <f aca="false">IF($E501="","",COUNTIF($E$2:$E501,$E501))</f>
        <v/>
      </c>
      <c r="U501" s="1" t="str">
        <f aca="false">IF($E501="","",$E501&amp;"|"&amp;T501)</f>
        <v/>
      </c>
    </row>
    <row r="502" customFormat="false" ht="15" hidden="false" customHeight="false" outlineLevel="0" collapsed="false">
      <c r="T502" s="1" t="str">
        <f aca="false">IF($E502="","",COUNTIF($E$2:$E502,$E502))</f>
        <v/>
      </c>
      <c r="U502" s="1" t="str">
        <f aca="false">IF($E502="","",$E502&amp;"|"&amp;T502)</f>
        <v/>
      </c>
    </row>
    <row r="503" customFormat="false" ht="15" hidden="false" customHeight="false" outlineLevel="0" collapsed="false">
      <c r="T503" s="1" t="str">
        <f aca="false">IF($E503="","",COUNTIF($E$2:$E503,$E503))</f>
        <v/>
      </c>
      <c r="U503" s="1" t="str">
        <f aca="false">IF($E503="","",$E503&amp;"|"&amp;T503)</f>
        <v/>
      </c>
    </row>
    <row r="504" customFormat="false" ht="15" hidden="false" customHeight="false" outlineLevel="0" collapsed="false">
      <c r="T504" s="1" t="str">
        <f aca="false">IF($E504="","",COUNTIF($E$2:$E504,$E504))</f>
        <v/>
      </c>
      <c r="U504" s="1" t="str">
        <f aca="false">IF($E504="","",$E504&amp;"|"&amp;T504)</f>
        <v/>
      </c>
    </row>
    <row r="505" customFormat="false" ht="15" hidden="false" customHeight="false" outlineLevel="0" collapsed="false">
      <c r="T505" s="1" t="str">
        <f aca="false">IF($E505="","",COUNTIF($E$2:$E505,$E505))</f>
        <v/>
      </c>
      <c r="U505" s="1" t="str">
        <f aca="false">IF($E505="","",$E505&amp;"|"&amp;T505)</f>
        <v/>
      </c>
    </row>
    <row r="506" customFormat="false" ht="15" hidden="false" customHeight="false" outlineLevel="0" collapsed="false">
      <c r="T506" s="1" t="str">
        <f aca="false">IF($E506="","",COUNTIF($E$2:$E506,$E506))</f>
        <v/>
      </c>
      <c r="U506" s="1" t="str">
        <f aca="false">IF($E506="","",$E506&amp;"|"&amp;T506)</f>
        <v/>
      </c>
    </row>
    <row r="507" customFormat="false" ht="15" hidden="false" customHeight="false" outlineLevel="0" collapsed="false">
      <c r="T507" s="1" t="str">
        <f aca="false">IF($E507="","",COUNTIF($E$2:$E507,$E507))</f>
        <v/>
      </c>
      <c r="U507" s="1" t="str">
        <f aca="false">IF($E507="","",$E507&amp;"|"&amp;T507)</f>
        <v/>
      </c>
    </row>
    <row r="508" customFormat="false" ht="15" hidden="false" customHeight="false" outlineLevel="0" collapsed="false">
      <c r="T508" s="1" t="str">
        <f aca="false">IF($E508="","",COUNTIF($E$2:$E508,$E508))</f>
        <v/>
      </c>
      <c r="U508" s="1" t="str">
        <f aca="false">IF($E508="","",$E508&amp;"|"&amp;T508)</f>
        <v/>
      </c>
    </row>
    <row r="509" customFormat="false" ht="15" hidden="false" customHeight="false" outlineLevel="0" collapsed="false">
      <c r="T509" s="1" t="str">
        <f aca="false">IF($E509="","",COUNTIF($E$2:$E509,$E509))</f>
        <v/>
      </c>
      <c r="U509" s="1" t="str">
        <f aca="false">IF($E509="","",$E509&amp;"|"&amp;T509)</f>
        <v/>
      </c>
    </row>
    <row r="510" customFormat="false" ht="15" hidden="false" customHeight="false" outlineLevel="0" collapsed="false">
      <c r="T510" s="1" t="str">
        <f aca="false">IF($E510="","",COUNTIF($E$2:$E510,$E510))</f>
        <v/>
      </c>
      <c r="U510" s="1" t="str">
        <f aca="false">IF($E510="","",$E510&amp;"|"&amp;T510)</f>
        <v/>
      </c>
    </row>
    <row r="511" customFormat="false" ht="15" hidden="false" customHeight="false" outlineLevel="0" collapsed="false">
      <c r="T511" s="1" t="str">
        <f aca="false">IF($E511="","",COUNTIF($E$2:$E511,$E511))</f>
        <v/>
      </c>
      <c r="U511" s="1" t="str">
        <f aca="false">IF($E511="","",$E511&amp;"|"&amp;T511)</f>
        <v/>
      </c>
    </row>
    <row r="512" customFormat="false" ht="15" hidden="false" customHeight="false" outlineLevel="0" collapsed="false">
      <c r="T512" s="1" t="str">
        <f aca="false">IF($E512="","",COUNTIF($E$2:$E512,$E512))</f>
        <v/>
      </c>
      <c r="U512" s="1" t="str">
        <f aca="false">IF($E512="","",$E512&amp;"|"&amp;T512)</f>
        <v/>
      </c>
    </row>
    <row r="513" customFormat="false" ht="15" hidden="false" customHeight="false" outlineLevel="0" collapsed="false">
      <c r="T513" s="1" t="str">
        <f aca="false">IF($E513="","",COUNTIF($E$2:$E513,$E513))</f>
        <v/>
      </c>
      <c r="U513" s="1" t="str">
        <f aca="false">IF($E513="","",$E513&amp;"|"&amp;T513)</f>
        <v/>
      </c>
    </row>
    <row r="514" customFormat="false" ht="15" hidden="false" customHeight="false" outlineLevel="0" collapsed="false">
      <c r="T514" s="1" t="str">
        <f aca="false">IF($E514="","",COUNTIF($E$2:$E514,$E514))</f>
        <v/>
      </c>
      <c r="U514" s="1" t="str">
        <f aca="false">IF($E514="","",$E514&amp;"|"&amp;T514)</f>
        <v/>
      </c>
    </row>
    <row r="515" customFormat="false" ht="15" hidden="false" customHeight="false" outlineLevel="0" collapsed="false">
      <c r="T515" s="1" t="str">
        <f aca="false">IF($E515="","",COUNTIF($E$2:$E515,$E515))</f>
        <v/>
      </c>
      <c r="U515" s="1" t="str">
        <f aca="false">IF($E515="","",$E515&amp;"|"&amp;T515)</f>
        <v/>
      </c>
    </row>
    <row r="516" customFormat="false" ht="15" hidden="false" customHeight="false" outlineLevel="0" collapsed="false">
      <c r="T516" s="1" t="str">
        <f aca="false">IF($E516="","",COUNTIF($E$2:$E516,$E516))</f>
        <v/>
      </c>
      <c r="U516" s="1" t="str">
        <f aca="false">IF($E516="","",$E516&amp;"|"&amp;T516)</f>
        <v/>
      </c>
    </row>
    <row r="517" customFormat="false" ht="15" hidden="false" customHeight="false" outlineLevel="0" collapsed="false">
      <c r="T517" s="1" t="str">
        <f aca="false">IF($E517="","",COUNTIF($E$2:$E517,$E517))</f>
        <v/>
      </c>
      <c r="U517" s="1" t="str">
        <f aca="false">IF($E517="","",$E517&amp;"|"&amp;T517)</f>
        <v/>
      </c>
    </row>
    <row r="518" customFormat="false" ht="15" hidden="false" customHeight="false" outlineLevel="0" collapsed="false">
      <c r="T518" s="1" t="str">
        <f aca="false">IF($E518="","",COUNTIF($E$2:$E518,$E518))</f>
        <v/>
      </c>
      <c r="U518" s="1" t="str">
        <f aca="false">IF($E518="","",$E518&amp;"|"&amp;T518)</f>
        <v/>
      </c>
    </row>
    <row r="519" customFormat="false" ht="15" hidden="false" customHeight="false" outlineLevel="0" collapsed="false">
      <c r="T519" s="1" t="str">
        <f aca="false">IF($E519="","",COUNTIF($E$2:$E519,$E519))</f>
        <v/>
      </c>
      <c r="U519" s="1" t="str">
        <f aca="false">IF($E519="","",$E519&amp;"|"&amp;T519)</f>
        <v/>
      </c>
    </row>
    <row r="520" customFormat="false" ht="15" hidden="false" customHeight="false" outlineLevel="0" collapsed="false">
      <c r="T520" s="1" t="str">
        <f aca="false">IF($E520="","",COUNTIF($E$2:$E520,$E520))</f>
        <v/>
      </c>
      <c r="U520" s="1" t="str">
        <f aca="false">IF($E520="","",$E520&amp;"|"&amp;T520)</f>
        <v/>
      </c>
    </row>
    <row r="521" customFormat="false" ht="15" hidden="false" customHeight="false" outlineLevel="0" collapsed="false">
      <c r="T521" s="1" t="str">
        <f aca="false">IF($E521="","",COUNTIF($E$2:$E521,$E521))</f>
        <v/>
      </c>
      <c r="U521" s="1" t="str">
        <f aca="false">IF($E521="","",$E521&amp;"|"&amp;T521)</f>
        <v/>
      </c>
    </row>
    <row r="522" customFormat="false" ht="15" hidden="false" customHeight="false" outlineLevel="0" collapsed="false">
      <c r="T522" s="1" t="str">
        <f aca="false">IF($E522="","",COUNTIF($E$2:$E522,$E522))</f>
        <v/>
      </c>
      <c r="U522" s="1" t="str">
        <f aca="false">IF($E522="","",$E522&amp;"|"&amp;T522)</f>
        <v/>
      </c>
    </row>
    <row r="523" customFormat="false" ht="15" hidden="false" customHeight="false" outlineLevel="0" collapsed="false">
      <c r="T523" s="1" t="str">
        <f aca="false">IF($E523="","",COUNTIF($E$2:$E523,$E523))</f>
        <v/>
      </c>
      <c r="U523" s="1" t="str">
        <f aca="false">IF($E523="","",$E523&amp;"|"&amp;T523)</f>
        <v/>
      </c>
    </row>
    <row r="524" customFormat="false" ht="15" hidden="false" customHeight="false" outlineLevel="0" collapsed="false">
      <c r="T524" s="1" t="str">
        <f aca="false">IF($E524="","",COUNTIF($E$2:$E524,$E524))</f>
        <v/>
      </c>
      <c r="U524" s="1" t="str">
        <f aca="false">IF($E524="","",$E524&amp;"|"&amp;T524)</f>
        <v/>
      </c>
    </row>
    <row r="525" customFormat="false" ht="15" hidden="false" customHeight="false" outlineLevel="0" collapsed="false">
      <c r="T525" s="1" t="str">
        <f aca="false">IF($E525="","",COUNTIF($E$2:$E525,$E525))</f>
        <v/>
      </c>
      <c r="U525" s="1" t="str">
        <f aca="false">IF($E525="","",$E525&amp;"|"&amp;T525)</f>
        <v/>
      </c>
    </row>
    <row r="526" customFormat="false" ht="15" hidden="false" customHeight="false" outlineLevel="0" collapsed="false">
      <c r="T526" s="1" t="str">
        <f aca="false">IF($E526="","",COUNTIF($E$2:$E526,$E526))</f>
        <v/>
      </c>
      <c r="U526" s="1" t="str">
        <f aca="false">IF($E526="","",$E526&amp;"|"&amp;T526)</f>
        <v/>
      </c>
    </row>
    <row r="527" customFormat="false" ht="15" hidden="false" customHeight="false" outlineLevel="0" collapsed="false">
      <c r="T527" s="1" t="str">
        <f aca="false">IF($E527="","",COUNTIF($E$2:$E527,$E527))</f>
        <v/>
      </c>
      <c r="U527" s="1" t="str">
        <f aca="false">IF($E527="","",$E527&amp;"|"&amp;T527)</f>
        <v/>
      </c>
    </row>
    <row r="528" customFormat="false" ht="15" hidden="false" customHeight="false" outlineLevel="0" collapsed="false">
      <c r="T528" s="1" t="str">
        <f aca="false">IF($E528="","",COUNTIF($E$2:$E528,$E528))</f>
        <v/>
      </c>
      <c r="U528" s="1" t="str">
        <f aca="false">IF($E528="","",$E528&amp;"|"&amp;T528)</f>
        <v/>
      </c>
    </row>
    <row r="529" customFormat="false" ht="15" hidden="false" customHeight="false" outlineLevel="0" collapsed="false">
      <c r="T529" s="1" t="str">
        <f aca="false">IF($E529="","",COUNTIF($E$2:$E529,$E529))</f>
        <v/>
      </c>
      <c r="U529" s="1" t="str">
        <f aca="false">IF($E529="","",$E529&amp;"|"&amp;T529)</f>
        <v/>
      </c>
    </row>
    <row r="530" customFormat="false" ht="15" hidden="false" customHeight="false" outlineLevel="0" collapsed="false">
      <c r="T530" s="1" t="str">
        <f aca="false">IF($E530="","",COUNTIF($E$2:$E530,$E530))</f>
        <v/>
      </c>
      <c r="U530" s="1" t="str">
        <f aca="false">IF($E530="","",$E530&amp;"|"&amp;T530)</f>
        <v/>
      </c>
    </row>
    <row r="531" customFormat="false" ht="15" hidden="false" customHeight="false" outlineLevel="0" collapsed="false">
      <c r="T531" s="1" t="str">
        <f aca="false">IF($E531="","",COUNTIF($E$2:$E531,$E531))</f>
        <v/>
      </c>
      <c r="U531" s="1" t="str">
        <f aca="false">IF($E531="","",$E531&amp;"|"&amp;T531)</f>
        <v/>
      </c>
    </row>
    <row r="532" customFormat="false" ht="15" hidden="false" customHeight="false" outlineLevel="0" collapsed="false">
      <c r="T532" s="1" t="str">
        <f aca="false">IF($E532="","",COUNTIF($E$2:$E532,$E532))</f>
        <v/>
      </c>
      <c r="U532" s="1" t="str">
        <f aca="false">IF($E532="","",$E532&amp;"|"&amp;T532)</f>
        <v/>
      </c>
    </row>
    <row r="533" customFormat="false" ht="15" hidden="false" customHeight="false" outlineLevel="0" collapsed="false">
      <c r="T533" s="1" t="str">
        <f aca="false">IF($E533="","",COUNTIF($E$2:$E533,$E533))</f>
        <v/>
      </c>
      <c r="U533" s="1" t="str">
        <f aca="false">IF($E533="","",$E533&amp;"|"&amp;T533)</f>
        <v/>
      </c>
    </row>
    <row r="534" customFormat="false" ht="15" hidden="false" customHeight="false" outlineLevel="0" collapsed="false">
      <c r="T534" s="1" t="str">
        <f aca="false">IF($E534="","",COUNTIF($E$2:$E534,$E534))</f>
        <v/>
      </c>
      <c r="U534" s="1" t="str">
        <f aca="false">IF($E534="","",$E534&amp;"|"&amp;T534)</f>
        <v/>
      </c>
    </row>
    <row r="535" customFormat="false" ht="15" hidden="false" customHeight="false" outlineLevel="0" collapsed="false">
      <c r="T535" s="1" t="str">
        <f aca="false">IF($E535="","",COUNTIF($E$2:$E535,$E535))</f>
        <v/>
      </c>
      <c r="U535" s="1" t="str">
        <f aca="false">IF($E535="","",$E535&amp;"|"&amp;T535)</f>
        <v/>
      </c>
    </row>
    <row r="536" customFormat="false" ht="15" hidden="false" customHeight="false" outlineLevel="0" collapsed="false">
      <c r="T536" s="1" t="str">
        <f aca="false">IF($E536="","",COUNTIF($E$2:$E536,$E536))</f>
        <v/>
      </c>
      <c r="U536" s="1" t="str">
        <f aca="false">IF($E536="","",$E536&amp;"|"&amp;T536)</f>
        <v/>
      </c>
    </row>
    <row r="537" customFormat="false" ht="15" hidden="false" customHeight="false" outlineLevel="0" collapsed="false">
      <c r="T537" s="1" t="str">
        <f aca="false">IF($E537="","",COUNTIF($E$2:$E537,$E537))</f>
        <v/>
      </c>
      <c r="U537" s="1" t="str">
        <f aca="false">IF($E537="","",$E537&amp;"|"&amp;T537)</f>
        <v/>
      </c>
    </row>
    <row r="538" customFormat="false" ht="15" hidden="false" customHeight="false" outlineLevel="0" collapsed="false">
      <c r="T538" s="1" t="str">
        <f aca="false">IF($E538="","",COUNTIF($E$2:$E538,$E538))</f>
        <v/>
      </c>
      <c r="U538" s="1" t="str">
        <f aca="false">IF($E538="","",$E538&amp;"|"&amp;T538)</f>
        <v/>
      </c>
    </row>
    <row r="539" customFormat="false" ht="15" hidden="false" customHeight="false" outlineLevel="0" collapsed="false">
      <c r="T539" s="1" t="str">
        <f aca="false">IF($E539="","",COUNTIF($E$2:$E539,$E539))</f>
        <v/>
      </c>
      <c r="U539" s="1" t="str">
        <f aca="false">IF($E539="","",$E539&amp;"|"&amp;T539)</f>
        <v/>
      </c>
    </row>
    <row r="540" customFormat="false" ht="15" hidden="false" customHeight="false" outlineLevel="0" collapsed="false">
      <c r="T540" s="1" t="str">
        <f aca="false">IF($E540="","",COUNTIF($E$2:$E540,$E540))</f>
        <v/>
      </c>
      <c r="U540" s="1" t="str">
        <f aca="false">IF($E540="","",$E540&amp;"|"&amp;T540)</f>
        <v/>
      </c>
    </row>
    <row r="541" customFormat="false" ht="15" hidden="false" customHeight="false" outlineLevel="0" collapsed="false">
      <c r="T541" s="1" t="str">
        <f aca="false">IF($E541="","",COUNTIF($E$2:$E541,$E541))</f>
        <v/>
      </c>
      <c r="U541" s="1" t="str">
        <f aca="false">IF($E541="","",$E541&amp;"|"&amp;T541)</f>
        <v/>
      </c>
    </row>
    <row r="542" customFormat="false" ht="15" hidden="false" customHeight="false" outlineLevel="0" collapsed="false">
      <c r="T542" s="1" t="str">
        <f aca="false">IF($E542="","",COUNTIF($E$2:$E542,$E542))</f>
        <v/>
      </c>
      <c r="U542" s="1" t="str">
        <f aca="false">IF($E542="","",$E542&amp;"|"&amp;T542)</f>
        <v/>
      </c>
    </row>
    <row r="543" customFormat="false" ht="15" hidden="false" customHeight="false" outlineLevel="0" collapsed="false">
      <c r="T543" s="1" t="str">
        <f aca="false">IF($E543="","",COUNTIF($E$2:$E543,$E543))</f>
        <v/>
      </c>
      <c r="U543" s="1" t="str">
        <f aca="false">IF($E543="","",$E543&amp;"|"&amp;T543)</f>
        <v/>
      </c>
    </row>
    <row r="544" customFormat="false" ht="15" hidden="false" customHeight="false" outlineLevel="0" collapsed="false">
      <c r="T544" s="1" t="str">
        <f aca="false">IF($E544="","",COUNTIF($E$2:$E544,$E544))</f>
        <v/>
      </c>
      <c r="U544" s="1" t="str">
        <f aca="false">IF($E544="","",$E544&amp;"|"&amp;T544)</f>
        <v/>
      </c>
    </row>
    <row r="545" customFormat="false" ht="15" hidden="false" customHeight="false" outlineLevel="0" collapsed="false">
      <c r="T545" s="1" t="str">
        <f aca="false">IF($E545="","",COUNTIF($E$2:$E545,$E545))</f>
        <v/>
      </c>
      <c r="U545" s="1" t="str">
        <f aca="false">IF($E545="","",$E545&amp;"|"&amp;T545)</f>
        <v/>
      </c>
    </row>
    <row r="546" customFormat="false" ht="15" hidden="false" customHeight="false" outlineLevel="0" collapsed="false">
      <c r="T546" s="1" t="str">
        <f aca="false">IF($E546="","",COUNTIF($E$2:$E546,$E546))</f>
        <v/>
      </c>
      <c r="U546" s="1" t="str">
        <f aca="false">IF($E546="","",$E546&amp;"|"&amp;T546)</f>
        <v/>
      </c>
    </row>
    <row r="547" customFormat="false" ht="15" hidden="false" customHeight="false" outlineLevel="0" collapsed="false">
      <c r="T547" s="1" t="str">
        <f aca="false">IF($E547="","",COUNTIF($E$2:$E547,$E547))</f>
        <v/>
      </c>
      <c r="U547" s="1" t="str">
        <f aca="false">IF($E547="","",$E547&amp;"|"&amp;T547)</f>
        <v/>
      </c>
    </row>
    <row r="548" customFormat="false" ht="15" hidden="false" customHeight="false" outlineLevel="0" collapsed="false">
      <c r="T548" s="1" t="str">
        <f aca="false">IF($E548="","",COUNTIF($E$2:$E548,$E548))</f>
        <v/>
      </c>
      <c r="U548" s="1" t="str">
        <f aca="false">IF($E548="","",$E548&amp;"|"&amp;T548)</f>
        <v/>
      </c>
    </row>
    <row r="549" customFormat="false" ht="15" hidden="false" customHeight="false" outlineLevel="0" collapsed="false">
      <c r="T549" s="1" t="str">
        <f aca="false">IF($E549="","",COUNTIF($E$2:$E549,$E549))</f>
        <v/>
      </c>
      <c r="U549" s="1" t="str">
        <f aca="false">IF($E549="","",$E549&amp;"|"&amp;T549)</f>
        <v/>
      </c>
    </row>
    <row r="550" customFormat="false" ht="15" hidden="false" customHeight="false" outlineLevel="0" collapsed="false">
      <c r="T550" s="1" t="str">
        <f aca="false">IF($E550="","",COUNTIF($E$2:$E550,$E550))</f>
        <v/>
      </c>
      <c r="U550" s="1" t="str">
        <f aca="false">IF($E550="","",$E550&amp;"|"&amp;T550)</f>
        <v/>
      </c>
    </row>
    <row r="551" customFormat="false" ht="15" hidden="false" customHeight="false" outlineLevel="0" collapsed="false">
      <c r="T551" s="1" t="str">
        <f aca="false">IF($E551="","",COUNTIF($E$2:$E551,$E551))</f>
        <v/>
      </c>
      <c r="U551" s="1" t="str">
        <f aca="false">IF($E551="","",$E551&amp;"|"&amp;T551)</f>
        <v/>
      </c>
    </row>
    <row r="552" customFormat="false" ht="15" hidden="false" customHeight="false" outlineLevel="0" collapsed="false">
      <c r="T552" s="1" t="str">
        <f aca="false">IF($E552="","",COUNTIF($E$2:$E552,$E552))</f>
        <v/>
      </c>
      <c r="U552" s="1" t="str">
        <f aca="false">IF($E552="","",$E552&amp;"|"&amp;T552)</f>
        <v/>
      </c>
    </row>
    <row r="553" customFormat="false" ht="15" hidden="false" customHeight="false" outlineLevel="0" collapsed="false">
      <c r="T553" s="1" t="str">
        <f aca="false">IF($E553="","",COUNTIF($E$2:$E553,$E553))</f>
        <v/>
      </c>
      <c r="U553" s="1" t="str">
        <f aca="false">IF($E553="","",$E553&amp;"|"&amp;T553)</f>
        <v/>
      </c>
    </row>
    <row r="554" customFormat="false" ht="15" hidden="false" customHeight="false" outlineLevel="0" collapsed="false">
      <c r="T554" s="1" t="str">
        <f aca="false">IF($E554="","",COUNTIF($E$2:$E554,$E554))</f>
        <v/>
      </c>
      <c r="U554" s="1" t="str">
        <f aca="false">IF($E554="","",$E554&amp;"|"&amp;T554)</f>
        <v/>
      </c>
    </row>
    <row r="555" customFormat="false" ht="15" hidden="false" customHeight="false" outlineLevel="0" collapsed="false">
      <c r="T555" s="1" t="str">
        <f aca="false">IF($E555="","",COUNTIF($E$2:$E555,$E555))</f>
        <v/>
      </c>
      <c r="U555" s="1" t="str">
        <f aca="false">IF($E555="","",$E555&amp;"|"&amp;T555)</f>
        <v/>
      </c>
    </row>
    <row r="556" customFormat="false" ht="15" hidden="false" customHeight="false" outlineLevel="0" collapsed="false">
      <c r="T556" s="1" t="str">
        <f aca="false">IF($E556="","",COUNTIF($E$2:$E556,$E556))</f>
        <v/>
      </c>
      <c r="U556" s="1" t="str">
        <f aca="false">IF($E556="","",$E556&amp;"|"&amp;T556)</f>
        <v/>
      </c>
    </row>
    <row r="557" customFormat="false" ht="15" hidden="false" customHeight="false" outlineLevel="0" collapsed="false">
      <c r="T557" s="1" t="str">
        <f aca="false">IF($E557="","",COUNTIF($E$2:$E557,$E557))</f>
        <v/>
      </c>
      <c r="U557" s="1" t="str">
        <f aca="false">IF($E557="","",$E557&amp;"|"&amp;T557)</f>
        <v/>
      </c>
    </row>
    <row r="558" customFormat="false" ht="15" hidden="false" customHeight="false" outlineLevel="0" collapsed="false">
      <c r="T558" s="1" t="str">
        <f aca="false">IF($E558="","",COUNTIF($E$2:$E558,$E558))</f>
        <v/>
      </c>
      <c r="U558" s="1" t="str">
        <f aca="false">IF($E558="","",$E558&amp;"|"&amp;T558)</f>
        <v/>
      </c>
    </row>
    <row r="559" customFormat="false" ht="15" hidden="false" customHeight="false" outlineLevel="0" collapsed="false">
      <c r="T559" s="1" t="str">
        <f aca="false">IF($E559="","",COUNTIF($E$2:$E559,$E559))</f>
        <v/>
      </c>
      <c r="U559" s="1" t="str">
        <f aca="false">IF($E559="","",$E559&amp;"|"&amp;T559)</f>
        <v/>
      </c>
    </row>
    <row r="560" customFormat="false" ht="15" hidden="false" customHeight="false" outlineLevel="0" collapsed="false">
      <c r="T560" s="1" t="str">
        <f aca="false">IF($E560="","",COUNTIF($E$2:$E560,$E560))</f>
        <v/>
      </c>
      <c r="U560" s="1" t="str">
        <f aca="false">IF($E560="","",$E560&amp;"|"&amp;T560)</f>
        <v/>
      </c>
    </row>
    <row r="561" customFormat="false" ht="15" hidden="false" customHeight="false" outlineLevel="0" collapsed="false">
      <c r="T561" s="1" t="str">
        <f aca="false">IF($E561="","",COUNTIF($E$2:$E561,$E561))</f>
        <v/>
      </c>
      <c r="U561" s="1" t="str">
        <f aca="false">IF($E561="","",$E561&amp;"|"&amp;T561)</f>
        <v/>
      </c>
    </row>
    <row r="562" customFormat="false" ht="15" hidden="false" customHeight="false" outlineLevel="0" collapsed="false">
      <c r="T562" s="1" t="str">
        <f aca="false">IF($E562="","",COUNTIF($E$2:$E562,$E562))</f>
        <v/>
      </c>
      <c r="U562" s="1" t="str">
        <f aca="false">IF($E562="","",$E562&amp;"|"&amp;T562)</f>
        <v/>
      </c>
    </row>
    <row r="563" customFormat="false" ht="15" hidden="false" customHeight="false" outlineLevel="0" collapsed="false">
      <c r="T563" s="1" t="str">
        <f aca="false">IF($E563="","",COUNTIF($E$2:$E563,$E563))</f>
        <v/>
      </c>
      <c r="U563" s="1" t="str">
        <f aca="false">IF($E563="","",$E563&amp;"|"&amp;T563)</f>
        <v/>
      </c>
    </row>
    <row r="564" customFormat="false" ht="15" hidden="false" customHeight="false" outlineLevel="0" collapsed="false">
      <c r="T564" s="1" t="str">
        <f aca="false">IF($E564="","",COUNTIF($E$2:$E564,$E564))</f>
        <v/>
      </c>
      <c r="U564" s="1" t="str">
        <f aca="false">IF($E564="","",$E564&amp;"|"&amp;T564)</f>
        <v/>
      </c>
    </row>
    <row r="565" customFormat="false" ht="15" hidden="false" customHeight="false" outlineLevel="0" collapsed="false">
      <c r="T565" s="1" t="str">
        <f aca="false">IF($E565="","",COUNTIF($E$2:$E565,$E565))</f>
        <v/>
      </c>
      <c r="U565" s="1" t="str">
        <f aca="false">IF($E565="","",$E565&amp;"|"&amp;T565)</f>
        <v/>
      </c>
    </row>
    <row r="566" customFormat="false" ht="15" hidden="false" customHeight="false" outlineLevel="0" collapsed="false">
      <c r="T566" s="1" t="str">
        <f aca="false">IF($E566="","",COUNTIF($E$2:$E566,$E566))</f>
        <v/>
      </c>
      <c r="U566" s="1" t="str">
        <f aca="false">IF($E566="","",$E566&amp;"|"&amp;T566)</f>
        <v/>
      </c>
    </row>
    <row r="567" customFormat="false" ht="15" hidden="false" customHeight="false" outlineLevel="0" collapsed="false">
      <c r="T567" s="1" t="str">
        <f aca="false">IF($E567="","",COUNTIF($E$2:$E567,$E567))</f>
        <v/>
      </c>
      <c r="U567" s="1" t="str">
        <f aca="false">IF($E567="","",$E567&amp;"|"&amp;T567)</f>
        <v/>
      </c>
    </row>
    <row r="568" customFormat="false" ht="15" hidden="false" customHeight="false" outlineLevel="0" collapsed="false">
      <c r="T568" s="1" t="str">
        <f aca="false">IF($E568="","",COUNTIF($E$2:$E568,$E568))</f>
        <v/>
      </c>
      <c r="U568" s="1" t="str">
        <f aca="false">IF($E568="","",$E568&amp;"|"&amp;T568)</f>
        <v/>
      </c>
    </row>
    <row r="569" customFormat="false" ht="15" hidden="false" customHeight="false" outlineLevel="0" collapsed="false">
      <c r="T569" s="1" t="str">
        <f aca="false">IF($E569="","",COUNTIF($E$2:$E569,$E569))</f>
        <v/>
      </c>
      <c r="U569" s="1" t="str">
        <f aca="false">IF($E569="","",$E569&amp;"|"&amp;T569)</f>
        <v/>
      </c>
    </row>
    <row r="570" customFormat="false" ht="15" hidden="false" customHeight="false" outlineLevel="0" collapsed="false">
      <c r="T570" s="1" t="str">
        <f aca="false">IF($E570="","",COUNTIF($E$2:$E570,$E570))</f>
        <v/>
      </c>
      <c r="U570" s="1" t="str">
        <f aca="false">IF($E570="","",$E570&amp;"|"&amp;T570)</f>
        <v/>
      </c>
    </row>
    <row r="571" customFormat="false" ht="15" hidden="false" customHeight="false" outlineLevel="0" collapsed="false">
      <c r="T571" s="1" t="str">
        <f aca="false">IF($E571="","",COUNTIF($E$2:$E571,$E571))</f>
        <v/>
      </c>
      <c r="U571" s="1" t="str">
        <f aca="false">IF($E571="","",$E571&amp;"|"&amp;T571)</f>
        <v/>
      </c>
    </row>
    <row r="572" customFormat="false" ht="15" hidden="false" customHeight="false" outlineLevel="0" collapsed="false">
      <c r="T572" s="1" t="str">
        <f aca="false">IF($E572="","",COUNTIF($E$2:$E572,$E572))</f>
        <v/>
      </c>
      <c r="U572" s="1" t="str">
        <f aca="false">IF($E572="","",$E572&amp;"|"&amp;T572)</f>
        <v/>
      </c>
    </row>
    <row r="573" customFormat="false" ht="15" hidden="false" customHeight="false" outlineLevel="0" collapsed="false">
      <c r="T573" s="1" t="str">
        <f aca="false">IF($E573="","",COUNTIF($E$2:$E573,$E573))</f>
        <v/>
      </c>
      <c r="U573" s="1" t="str">
        <f aca="false">IF($E573="","",$E573&amp;"|"&amp;T573)</f>
        <v/>
      </c>
    </row>
    <row r="574" customFormat="false" ht="15" hidden="false" customHeight="false" outlineLevel="0" collapsed="false">
      <c r="T574" s="1" t="str">
        <f aca="false">IF($E574="","",COUNTIF($E$2:$E574,$E574))</f>
        <v/>
      </c>
      <c r="U574" s="1" t="str">
        <f aca="false">IF($E574="","",$E574&amp;"|"&amp;T574)</f>
        <v/>
      </c>
    </row>
    <row r="575" customFormat="false" ht="15" hidden="false" customHeight="false" outlineLevel="0" collapsed="false">
      <c r="T575" s="1" t="str">
        <f aca="false">IF($E575="","",COUNTIF($E$2:$E575,$E575))</f>
        <v/>
      </c>
      <c r="U575" s="1" t="str">
        <f aca="false">IF($E575="","",$E575&amp;"|"&amp;T575)</f>
        <v/>
      </c>
    </row>
    <row r="576" customFormat="false" ht="15" hidden="false" customHeight="false" outlineLevel="0" collapsed="false">
      <c r="T576" s="1" t="str">
        <f aca="false">IF($E576="","",COUNTIF($E$2:$E576,$E576))</f>
        <v/>
      </c>
      <c r="U576" s="1" t="str">
        <f aca="false">IF($E576="","",$E576&amp;"|"&amp;T576)</f>
        <v/>
      </c>
    </row>
    <row r="577" customFormat="false" ht="15" hidden="false" customHeight="false" outlineLevel="0" collapsed="false">
      <c r="T577" s="1" t="str">
        <f aca="false">IF($E577="","",COUNTIF($E$2:$E577,$E577))</f>
        <v/>
      </c>
      <c r="U577" s="1" t="str">
        <f aca="false">IF($E577="","",$E577&amp;"|"&amp;T577)</f>
        <v/>
      </c>
    </row>
    <row r="578" customFormat="false" ht="15" hidden="false" customHeight="false" outlineLevel="0" collapsed="false">
      <c r="T578" s="1" t="str">
        <f aca="false">IF($E578="","",COUNTIF($E$2:$E578,$E578))</f>
        <v/>
      </c>
      <c r="U578" s="1" t="str">
        <f aca="false">IF($E578="","",$E578&amp;"|"&amp;T578)</f>
        <v/>
      </c>
    </row>
    <row r="579" customFormat="false" ht="15" hidden="false" customHeight="false" outlineLevel="0" collapsed="false">
      <c r="T579" s="1" t="str">
        <f aca="false">IF($E579="","",COUNTIF($E$2:$E579,$E579))</f>
        <v/>
      </c>
      <c r="U579" s="1" t="str">
        <f aca="false">IF($E579="","",$E579&amp;"|"&amp;T579)</f>
        <v/>
      </c>
    </row>
    <row r="580" customFormat="false" ht="15" hidden="false" customHeight="false" outlineLevel="0" collapsed="false">
      <c r="T580" s="1" t="str">
        <f aca="false">IF($E580="","",COUNTIF($E$2:$E580,$E580))</f>
        <v/>
      </c>
      <c r="U580" s="1" t="str">
        <f aca="false">IF($E580="","",$E580&amp;"|"&amp;T580)</f>
        <v/>
      </c>
    </row>
    <row r="581" customFormat="false" ht="15" hidden="false" customHeight="false" outlineLevel="0" collapsed="false">
      <c r="T581" s="1" t="str">
        <f aca="false">IF($E581="","",COUNTIF($E$2:$E581,$E581))</f>
        <v/>
      </c>
      <c r="U581" s="1" t="str">
        <f aca="false">IF($E581="","",$E581&amp;"|"&amp;T581)</f>
        <v/>
      </c>
    </row>
    <row r="582" customFormat="false" ht="15" hidden="false" customHeight="false" outlineLevel="0" collapsed="false">
      <c r="T582" s="1" t="str">
        <f aca="false">IF($E582="","",COUNTIF($E$2:$E582,$E582))</f>
        <v/>
      </c>
      <c r="U582" s="1" t="str">
        <f aca="false">IF($E582="","",$E582&amp;"|"&amp;T582)</f>
        <v/>
      </c>
    </row>
    <row r="583" customFormat="false" ht="15" hidden="false" customHeight="false" outlineLevel="0" collapsed="false">
      <c r="T583" s="1" t="str">
        <f aca="false">IF($E583="","",COUNTIF($E$2:$E583,$E583))</f>
        <v/>
      </c>
      <c r="U583" s="1" t="str">
        <f aca="false">IF($E583="","",$E583&amp;"|"&amp;T583)</f>
        <v/>
      </c>
    </row>
    <row r="584" customFormat="false" ht="15" hidden="false" customHeight="false" outlineLevel="0" collapsed="false">
      <c r="T584" s="1" t="str">
        <f aca="false">IF($E584="","",COUNTIF($E$2:$E584,$E584))</f>
        <v/>
      </c>
      <c r="U584" s="1" t="str">
        <f aca="false">IF($E584="","",$E584&amp;"|"&amp;T584)</f>
        <v/>
      </c>
    </row>
    <row r="585" customFormat="false" ht="15" hidden="false" customHeight="false" outlineLevel="0" collapsed="false">
      <c r="T585" s="1" t="str">
        <f aca="false">IF($E585="","",COUNTIF($E$2:$E585,$E585))</f>
        <v/>
      </c>
      <c r="U585" s="1" t="str">
        <f aca="false">IF($E585="","",$E585&amp;"|"&amp;T585)</f>
        <v/>
      </c>
    </row>
    <row r="586" customFormat="false" ht="15" hidden="false" customHeight="false" outlineLevel="0" collapsed="false">
      <c r="T586" s="1" t="str">
        <f aca="false">IF($E586="","",COUNTIF($E$2:$E586,$E586))</f>
        <v/>
      </c>
      <c r="U586" s="1" t="str">
        <f aca="false">IF($E586="","",$E586&amp;"|"&amp;T586)</f>
        <v/>
      </c>
    </row>
    <row r="587" customFormat="false" ht="15" hidden="false" customHeight="false" outlineLevel="0" collapsed="false">
      <c r="T587" s="1" t="str">
        <f aca="false">IF($E587="","",COUNTIF($E$2:$E587,$E587))</f>
        <v/>
      </c>
      <c r="U587" s="1" t="str">
        <f aca="false">IF($E587="","",$E587&amp;"|"&amp;T587)</f>
        <v/>
      </c>
    </row>
    <row r="588" customFormat="false" ht="15" hidden="false" customHeight="false" outlineLevel="0" collapsed="false">
      <c r="T588" s="1" t="str">
        <f aca="false">IF($E588="","",COUNTIF($E$2:$E588,$E588))</f>
        <v/>
      </c>
      <c r="U588" s="1" t="str">
        <f aca="false">IF($E588="","",$E588&amp;"|"&amp;T588)</f>
        <v/>
      </c>
    </row>
    <row r="589" customFormat="false" ht="15" hidden="false" customHeight="false" outlineLevel="0" collapsed="false">
      <c r="T589" s="1" t="str">
        <f aca="false">IF($E589="","",COUNTIF($E$2:$E589,$E589))</f>
        <v/>
      </c>
      <c r="U589" s="1" t="str">
        <f aca="false">IF($E589="","",$E589&amp;"|"&amp;T589)</f>
        <v/>
      </c>
    </row>
    <row r="590" customFormat="false" ht="15" hidden="false" customHeight="false" outlineLevel="0" collapsed="false">
      <c r="T590" s="1" t="str">
        <f aca="false">IF($E590="","",COUNTIF($E$2:$E590,$E590))</f>
        <v/>
      </c>
      <c r="U590" s="1" t="str">
        <f aca="false">IF($E590="","",$E590&amp;"|"&amp;T590)</f>
        <v/>
      </c>
    </row>
    <row r="591" customFormat="false" ht="15" hidden="false" customHeight="false" outlineLevel="0" collapsed="false">
      <c r="T591" s="1" t="str">
        <f aca="false">IF($E591="","",COUNTIF($E$2:$E591,$E591))</f>
        <v/>
      </c>
      <c r="U591" s="1" t="str">
        <f aca="false">IF($E591="","",$E591&amp;"|"&amp;T591)</f>
        <v/>
      </c>
    </row>
    <row r="592" customFormat="false" ht="15" hidden="false" customHeight="false" outlineLevel="0" collapsed="false">
      <c r="T592" s="1" t="str">
        <f aca="false">IF($E592="","",COUNTIF($E$2:$E592,$E592))</f>
        <v/>
      </c>
      <c r="U592" s="1" t="str">
        <f aca="false">IF($E592="","",$E592&amp;"|"&amp;T592)</f>
        <v/>
      </c>
    </row>
    <row r="593" customFormat="false" ht="15" hidden="false" customHeight="false" outlineLevel="0" collapsed="false">
      <c r="T593" s="1" t="str">
        <f aca="false">IF($E593="","",COUNTIF($E$2:$E593,$E593))</f>
        <v/>
      </c>
      <c r="U593" s="1" t="str">
        <f aca="false">IF($E593="","",$E593&amp;"|"&amp;T593)</f>
        <v/>
      </c>
    </row>
    <row r="594" customFormat="false" ht="15" hidden="false" customHeight="false" outlineLevel="0" collapsed="false">
      <c r="T594" s="1" t="str">
        <f aca="false">IF($E594="","",COUNTIF($E$2:$E594,$E594))</f>
        <v/>
      </c>
      <c r="U594" s="1" t="str">
        <f aca="false">IF($E594="","",$E594&amp;"|"&amp;T594)</f>
        <v/>
      </c>
    </row>
    <row r="595" customFormat="false" ht="15" hidden="false" customHeight="false" outlineLevel="0" collapsed="false">
      <c r="T595" s="1" t="str">
        <f aca="false">IF($E595="","",COUNTIF($E$2:$E595,$E595))</f>
        <v/>
      </c>
      <c r="U595" s="1" t="str">
        <f aca="false">IF($E595="","",$E595&amp;"|"&amp;T595)</f>
        <v/>
      </c>
    </row>
    <row r="596" customFormat="false" ht="15" hidden="false" customHeight="false" outlineLevel="0" collapsed="false">
      <c r="T596" s="1" t="str">
        <f aca="false">IF($E596="","",COUNTIF($E$2:$E596,$E596))</f>
        <v/>
      </c>
      <c r="U596" s="1" t="str">
        <f aca="false">IF($E596="","",$E596&amp;"|"&amp;T596)</f>
        <v/>
      </c>
    </row>
    <row r="597" customFormat="false" ht="15" hidden="false" customHeight="false" outlineLevel="0" collapsed="false">
      <c r="T597" s="1" t="str">
        <f aca="false">IF($E597="","",COUNTIF($E$2:$E597,$E597))</f>
        <v/>
      </c>
      <c r="U597" s="1" t="str">
        <f aca="false">IF($E597="","",$E597&amp;"|"&amp;T597)</f>
        <v/>
      </c>
    </row>
    <row r="598" customFormat="false" ht="15" hidden="false" customHeight="false" outlineLevel="0" collapsed="false">
      <c r="T598" s="1" t="str">
        <f aca="false">IF($E598="","",COUNTIF($E$2:$E598,$E598))</f>
        <v/>
      </c>
      <c r="U598" s="1" t="str">
        <f aca="false">IF($E598="","",$E598&amp;"|"&amp;T598)</f>
        <v/>
      </c>
    </row>
    <row r="599" customFormat="false" ht="15" hidden="false" customHeight="false" outlineLevel="0" collapsed="false">
      <c r="T599" s="1" t="str">
        <f aca="false">IF($E599="","",COUNTIF($E$2:$E599,$E599))</f>
        <v/>
      </c>
      <c r="U599" s="1" t="str">
        <f aca="false">IF($E599="","",$E599&amp;"|"&amp;T599)</f>
        <v/>
      </c>
    </row>
    <row r="600" customFormat="false" ht="15" hidden="false" customHeight="false" outlineLevel="0" collapsed="false">
      <c r="T600" s="1" t="str">
        <f aca="false">IF($E600="","",COUNTIF($E$2:$E600,$E600))</f>
        <v/>
      </c>
      <c r="U600" s="1" t="str">
        <f aca="false">IF($E600="","",$E600&amp;"|"&amp;T600)</f>
        <v/>
      </c>
    </row>
    <row r="601" customFormat="false" ht="15" hidden="false" customHeight="false" outlineLevel="0" collapsed="false">
      <c r="T601" s="1" t="str">
        <f aca="false">IF($E601="","",COUNTIF($E$2:$E601,$E601))</f>
        <v/>
      </c>
      <c r="U601" s="1" t="str">
        <f aca="false">IF($E601="","",$E601&amp;"|"&amp;T601)</f>
        <v/>
      </c>
    </row>
    <row r="602" customFormat="false" ht="15" hidden="false" customHeight="false" outlineLevel="0" collapsed="false">
      <c r="T602" s="1" t="str">
        <f aca="false">IF($E602="","",COUNTIF($E$2:$E602,$E602))</f>
        <v/>
      </c>
      <c r="U602" s="1" t="str">
        <f aca="false">IF($E602="","",$E602&amp;"|"&amp;T602)</f>
        <v/>
      </c>
    </row>
    <row r="603" customFormat="false" ht="15" hidden="false" customHeight="false" outlineLevel="0" collapsed="false">
      <c r="T603" s="1" t="str">
        <f aca="false">IF($E603="","",COUNTIF($E$2:$E603,$E603))</f>
        <v/>
      </c>
      <c r="U603" s="1" t="str">
        <f aca="false">IF($E603="","",$E603&amp;"|"&amp;T603)</f>
        <v/>
      </c>
    </row>
    <row r="604" customFormat="false" ht="15" hidden="false" customHeight="false" outlineLevel="0" collapsed="false">
      <c r="T604" s="1" t="str">
        <f aca="false">IF($E604="","",COUNTIF($E$2:$E604,$E604))</f>
        <v/>
      </c>
      <c r="U604" s="1" t="str">
        <f aca="false">IF($E604="","",$E604&amp;"|"&amp;T604)</f>
        <v/>
      </c>
    </row>
    <row r="605" customFormat="false" ht="15" hidden="false" customHeight="false" outlineLevel="0" collapsed="false">
      <c r="T605" s="1" t="str">
        <f aca="false">IF($E605="","",COUNTIF($E$2:$E605,$E605))</f>
        <v/>
      </c>
      <c r="U605" s="1" t="str">
        <f aca="false">IF($E605="","",$E605&amp;"|"&amp;T605)</f>
        <v/>
      </c>
    </row>
    <row r="606" customFormat="false" ht="15" hidden="false" customHeight="false" outlineLevel="0" collapsed="false">
      <c r="T606" s="1" t="str">
        <f aca="false">IF($E606="","",COUNTIF($E$2:$E606,$E606))</f>
        <v/>
      </c>
      <c r="U606" s="1" t="str">
        <f aca="false">IF($E606="","",$E606&amp;"|"&amp;T606)</f>
        <v/>
      </c>
    </row>
    <row r="607" customFormat="false" ht="15" hidden="false" customHeight="false" outlineLevel="0" collapsed="false">
      <c r="T607" s="1" t="str">
        <f aca="false">IF($E607="","",COUNTIF($E$2:$E607,$E607))</f>
        <v/>
      </c>
      <c r="U607" s="1" t="str">
        <f aca="false">IF($E607="","",$E607&amp;"|"&amp;T607)</f>
        <v/>
      </c>
    </row>
    <row r="608" customFormat="false" ht="15" hidden="false" customHeight="false" outlineLevel="0" collapsed="false">
      <c r="T608" s="1" t="str">
        <f aca="false">IF($E608="","",COUNTIF($E$2:$E608,$E608))</f>
        <v/>
      </c>
      <c r="U608" s="1" t="str">
        <f aca="false">IF($E608="","",$E608&amp;"|"&amp;T608)</f>
        <v/>
      </c>
    </row>
    <row r="609" customFormat="false" ht="15" hidden="false" customHeight="false" outlineLevel="0" collapsed="false">
      <c r="T609" s="1" t="str">
        <f aca="false">IF($E609="","",COUNTIF($E$2:$E609,$E609))</f>
        <v/>
      </c>
      <c r="U609" s="1" t="str">
        <f aca="false">IF($E609="","",$E609&amp;"|"&amp;T609)</f>
        <v/>
      </c>
    </row>
    <row r="610" customFormat="false" ht="15" hidden="false" customHeight="false" outlineLevel="0" collapsed="false">
      <c r="T610" s="1" t="str">
        <f aca="false">IF($E610="","",COUNTIF($E$2:$E610,$E610))</f>
        <v/>
      </c>
      <c r="U610" s="1" t="str">
        <f aca="false">IF($E610="","",$E610&amp;"|"&amp;T610)</f>
        <v/>
      </c>
    </row>
    <row r="611" customFormat="false" ht="15" hidden="false" customHeight="false" outlineLevel="0" collapsed="false">
      <c r="T611" s="1" t="str">
        <f aca="false">IF($E611="","",COUNTIF($E$2:$E611,$E611))</f>
        <v/>
      </c>
      <c r="U611" s="1" t="str">
        <f aca="false">IF($E611="","",$E611&amp;"|"&amp;T611)</f>
        <v/>
      </c>
    </row>
    <row r="612" customFormat="false" ht="15" hidden="false" customHeight="false" outlineLevel="0" collapsed="false">
      <c r="T612" s="1" t="str">
        <f aca="false">IF($E612="","",COUNTIF($E$2:$E612,$E612))</f>
        <v/>
      </c>
      <c r="U612" s="1" t="str">
        <f aca="false">IF($E612="","",$E612&amp;"|"&amp;T612)</f>
        <v/>
      </c>
    </row>
    <row r="613" customFormat="false" ht="15" hidden="false" customHeight="false" outlineLevel="0" collapsed="false">
      <c r="T613" s="1" t="str">
        <f aca="false">IF($E613="","",COUNTIF($E$2:$E613,$E613))</f>
        <v/>
      </c>
      <c r="U613" s="1" t="str">
        <f aca="false">IF($E613="","",$E613&amp;"|"&amp;T613)</f>
        <v/>
      </c>
    </row>
    <row r="614" customFormat="false" ht="15" hidden="false" customHeight="false" outlineLevel="0" collapsed="false">
      <c r="T614" s="1" t="str">
        <f aca="false">IF($E614="","",COUNTIF($E$2:$E614,$E614))</f>
        <v/>
      </c>
      <c r="U614" s="1" t="str">
        <f aca="false">IF($E614="","",$E614&amp;"|"&amp;T614)</f>
        <v/>
      </c>
    </row>
    <row r="615" customFormat="false" ht="15" hidden="false" customHeight="false" outlineLevel="0" collapsed="false">
      <c r="T615" s="1" t="str">
        <f aca="false">IF($E615="","",COUNTIF($E$2:$E615,$E615))</f>
        <v/>
      </c>
      <c r="U615" s="1" t="str">
        <f aca="false">IF($E615="","",$E615&amp;"|"&amp;T615)</f>
        <v/>
      </c>
    </row>
    <row r="616" customFormat="false" ht="15" hidden="false" customHeight="false" outlineLevel="0" collapsed="false">
      <c r="T616" s="1" t="str">
        <f aca="false">IF($E616="","",COUNTIF($E$2:$E616,$E616))</f>
        <v/>
      </c>
      <c r="U616" s="1" t="str">
        <f aca="false">IF($E616="","",$E616&amp;"|"&amp;T616)</f>
        <v/>
      </c>
    </row>
    <row r="617" customFormat="false" ht="15" hidden="false" customHeight="false" outlineLevel="0" collapsed="false">
      <c r="T617" s="1" t="str">
        <f aca="false">IF($E617="","",COUNTIF($E$2:$E617,$E617))</f>
        <v/>
      </c>
      <c r="U617" s="1" t="str">
        <f aca="false">IF($E617="","",$E617&amp;"|"&amp;T617)</f>
        <v/>
      </c>
    </row>
    <row r="618" customFormat="false" ht="15" hidden="false" customHeight="false" outlineLevel="0" collapsed="false">
      <c r="T618" s="1" t="str">
        <f aca="false">IF($E618="","",COUNTIF($E$2:$E618,$E618))</f>
        <v/>
      </c>
      <c r="U618" s="1" t="str">
        <f aca="false">IF($E618="","",$E618&amp;"|"&amp;T618)</f>
        <v/>
      </c>
    </row>
    <row r="619" customFormat="false" ht="15" hidden="false" customHeight="false" outlineLevel="0" collapsed="false">
      <c r="T619" s="1" t="str">
        <f aca="false">IF($E619="","",COUNTIF($E$2:$E619,$E619))</f>
        <v/>
      </c>
      <c r="U619" s="1" t="str">
        <f aca="false">IF($E619="","",$E619&amp;"|"&amp;T619)</f>
        <v/>
      </c>
    </row>
    <row r="620" customFormat="false" ht="15" hidden="false" customHeight="false" outlineLevel="0" collapsed="false">
      <c r="T620" s="1" t="str">
        <f aca="false">IF($E620="","",COUNTIF($E$2:$E620,$E620))</f>
        <v/>
      </c>
      <c r="U620" s="1" t="str">
        <f aca="false">IF($E620="","",$E620&amp;"|"&amp;T620)</f>
        <v/>
      </c>
    </row>
    <row r="621" customFormat="false" ht="15" hidden="false" customHeight="false" outlineLevel="0" collapsed="false">
      <c r="T621" s="1" t="str">
        <f aca="false">IF($E621="","",COUNTIF($E$2:$E621,$E621))</f>
        <v/>
      </c>
      <c r="U621" s="1" t="str">
        <f aca="false">IF($E621="","",$E621&amp;"|"&amp;T621)</f>
        <v/>
      </c>
    </row>
    <row r="622" customFormat="false" ht="15" hidden="false" customHeight="false" outlineLevel="0" collapsed="false">
      <c r="T622" s="1" t="str">
        <f aca="false">IF($E622="","",COUNTIF($E$2:$E622,$E622))</f>
        <v/>
      </c>
      <c r="U622" s="1" t="str">
        <f aca="false">IF($E622="","",$E622&amp;"|"&amp;T622)</f>
        <v/>
      </c>
    </row>
    <row r="623" customFormat="false" ht="15" hidden="false" customHeight="false" outlineLevel="0" collapsed="false">
      <c r="T623" s="1" t="str">
        <f aca="false">IF($E623="","",COUNTIF($E$2:$E623,$E623))</f>
        <v/>
      </c>
      <c r="U623" s="1" t="str">
        <f aca="false">IF($E623="","",$E623&amp;"|"&amp;T623)</f>
        <v/>
      </c>
    </row>
    <row r="624" customFormat="false" ht="15" hidden="false" customHeight="false" outlineLevel="0" collapsed="false">
      <c r="T624" s="1" t="str">
        <f aca="false">IF($E624="","",COUNTIF($E$2:$E624,$E624))</f>
        <v/>
      </c>
      <c r="U624" s="1" t="str">
        <f aca="false">IF($E624="","",$E624&amp;"|"&amp;T624)</f>
        <v/>
      </c>
    </row>
    <row r="625" customFormat="false" ht="15" hidden="false" customHeight="false" outlineLevel="0" collapsed="false">
      <c r="T625" s="1" t="str">
        <f aca="false">IF($E625="","",COUNTIF($E$2:$E625,$E625))</f>
        <v/>
      </c>
      <c r="U625" s="1" t="str">
        <f aca="false">IF($E625="","",$E625&amp;"|"&amp;T625)</f>
        <v/>
      </c>
    </row>
    <row r="626" customFormat="false" ht="15" hidden="false" customHeight="false" outlineLevel="0" collapsed="false">
      <c r="T626" s="1" t="str">
        <f aca="false">IF($E626="","",COUNTIF($E$2:$E626,$E626))</f>
        <v/>
      </c>
      <c r="U626" s="1" t="str">
        <f aca="false">IF($E626="","",$E626&amp;"|"&amp;T626)</f>
        <v/>
      </c>
    </row>
    <row r="627" customFormat="false" ht="15" hidden="false" customHeight="false" outlineLevel="0" collapsed="false">
      <c r="T627" s="1" t="str">
        <f aca="false">IF($E627="","",COUNTIF($E$2:$E627,$E627))</f>
        <v/>
      </c>
      <c r="U627" s="1" t="str">
        <f aca="false">IF($E627="","",$E627&amp;"|"&amp;T627)</f>
        <v/>
      </c>
    </row>
    <row r="628" customFormat="false" ht="15" hidden="false" customHeight="false" outlineLevel="0" collapsed="false">
      <c r="T628" s="1" t="str">
        <f aca="false">IF($E628="","",COUNTIF($E$2:$E628,$E628))</f>
        <v/>
      </c>
      <c r="U628" s="1" t="str">
        <f aca="false">IF($E628="","",$E628&amp;"|"&amp;T628)</f>
        <v/>
      </c>
    </row>
    <row r="629" customFormat="false" ht="15" hidden="false" customHeight="false" outlineLevel="0" collapsed="false">
      <c r="T629" s="1" t="str">
        <f aca="false">IF($E629="","",COUNTIF($E$2:$E629,$E629))</f>
        <v/>
      </c>
      <c r="U629" s="1" t="str">
        <f aca="false">IF($E629="","",$E629&amp;"|"&amp;T629)</f>
        <v/>
      </c>
    </row>
    <row r="630" customFormat="false" ht="15" hidden="false" customHeight="false" outlineLevel="0" collapsed="false">
      <c r="T630" s="1" t="str">
        <f aca="false">IF($E630="","",COUNTIF($E$2:$E630,$E630))</f>
        <v/>
      </c>
      <c r="U630" s="1" t="str">
        <f aca="false">IF($E630="","",$E630&amp;"|"&amp;T630)</f>
        <v/>
      </c>
    </row>
    <row r="631" customFormat="false" ht="15" hidden="false" customHeight="false" outlineLevel="0" collapsed="false">
      <c r="T631" s="1" t="str">
        <f aca="false">IF($E631="","",COUNTIF($E$2:$E631,$E631))</f>
        <v/>
      </c>
      <c r="U631" s="1" t="str">
        <f aca="false">IF($E631="","",$E631&amp;"|"&amp;T631)</f>
        <v/>
      </c>
    </row>
    <row r="632" customFormat="false" ht="15" hidden="false" customHeight="false" outlineLevel="0" collapsed="false">
      <c r="T632" s="1" t="str">
        <f aca="false">IF($E632="","",COUNTIF($E$2:$E632,$E632))</f>
        <v/>
      </c>
      <c r="U632" s="1" t="str">
        <f aca="false">IF($E632="","",$E632&amp;"|"&amp;T632)</f>
        <v/>
      </c>
    </row>
    <row r="633" customFormat="false" ht="15" hidden="false" customHeight="false" outlineLevel="0" collapsed="false">
      <c r="T633" s="1" t="str">
        <f aca="false">IF($E633="","",COUNTIF($E$2:$E633,$E633))</f>
        <v/>
      </c>
      <c r="U633" s="1" t="str">
        <f aca="false">IF($E633="","",$E633&amp;"|"&amp;T633)</f>
        <v/>
      </c>
    </row>
    <row r="634" customFormat="false" ht="15" hidden="false" customHeight="false" outlineLevel="0" collapsed="false">
      <c r="T634" s="1" t="str">
        <f aca="false">IF($E634="","",COUNTIF($E$2:$E634,$E634))</f>
        <v/>
      </c>
      <c r="U634" s="1" t="str">
        <f aca="false">IF($E634="","",$E634&amp;"|"&amp;T634)</f>
        <v/>
      </c>
    </row>
    <row r="635" customFormat="false" ht="15" hidden="false" customHeight="false" outlineLevel="0" collapsed="false">
      <c r="T635" s="1" t="str">
        <f aca="false">IF($E635="","",COUNTIF($E$2:$E635,$E635))</f>
        <v/>
      </c>
      <c r="U635" s="1" t="str">
        <f aca="false">IF($E635="","",$E635&amp;"|"&amp;T635)</f>
        <v/>
      </c>
    </row>
    <row r="636" customFormat="false" ht="15" hidden="false" customHeight="false" outlineLevel="0" collapsed="false">
      <c r="T636" s="1" t="str">
        <f aca="false">IF($E636="","",COUNTIF($E$2:$E636,$E636))</f>
        <v/>
      </c>
      <c r="U636" s="1" t="str">
        <f aca="false">IF($E636="","",$E636&amp;"|"&amp;T636)</f>
        <v/>
      </c>
    </row>
    <row r="637" customFormat="false" ht="15" hidden="false" customHeight="false" outlineLevel="0" collapsed="false">
      <c r="T637" s="1" t="str">
        <f aca="false">IF($E637="","",COUNTIF($E$2:$E637,$E637))</f>
        <v/>
      </c>
      <c r="U637" s="1" t="str">
        <f aca="false">IF($E637="","",$E637&amp;"|"&amp;T637)</f>
        <v/>
      </c>
    </row>
    <row r="638" customFormat="false" ht="15" hidden="false" customHeight="false" outlineLevel="0" collapsed="false">
      <c r="T638" s="1" t="str">
        <f aca="false">IF($E638="","",COUNTIF($E$2:$E638,$E638))</f>
        <v/>
      </c>
      <c r="U638" s="1" t="str">
        <f aca="false">IF($E638="","",$E638&amp;"|"&amp;T638)</f>
        <v/>
      </c>
    </row>
    <row r="639" customFormat="false" ht="15" hidden="false" customHeight="false" outlineLevel="0" collapsed="false">
      <c r="T639" s="1" t="str">
        <f aca="false">IF($E639="","",COUNTIF($E$2:$E639,$E639))</f>
        <v/>
      </c>
      <c r="U639" s="1" t="str">
        <f aca="false">IF($E639="","",$E639&amp;"|"&amp;T639)</f>
        <v/>
      </c>
    </row>
    <row r="640" customFormat="false" ht="15" hidden="false" customHeight="false" outlineLevel="0" collapsed="false">
      <c r="T640" s="1" t="str">
        <f aca="false">IF($E640="","",COUNTIF($E$2:$E640,$E640))</f>
        <v/>
      </c>
      <c r="U640" s="1" t="str">
        <f aca="false">IF($E640="","",$E640&amp;"|"&amp;T640)</f>
        <v/>
      </c>
    </row>
    <row r="641" customFormat="false" ht="15" hidden="false" customHeight="false" outlineLevel="0" collapsed="false">
      <c r="T641" s="1" t="str">
        <f aca="false">IF($E641="","",COUNTIF($E$2:$E641,$E641))</f>
        <v/>
      </c>
      <c r="U641" s="1" t="str">
        <f aca="false">IF($E641="","",$E641&amp;"|"&amp;T641)</f>
        <v/>
      </c>
    </row>
    <row r="642" customFormat="false" ht="15" hidden="false" customHeight="false" outlineLevel="0" collapsed="false">
      <c r="T642" s="1" t="str">
        <f aca="false">IF($E642="","",COUNTIF($E$2:$E642,$E642))</f>
        <v/>
      </c>
      <c r="U642" s="1" t="str">
        <f aca="false">IF($E642="","",$E642&amp;"|"&amp;T642)</f>
        <v/>
      </c>
    </row>
    <row r="643" customFormat="false" ht="15" hidden="false" customHeight="false" outlineLevel="0" collapsed="false">
      <c r="T643" s="1" t="str">
        <f aca="false">IF($E643="","",COUNTIF($E$2:$E643,$E643))</f>
        <v/>
      </c>
      <c r="U643" s="1" t="str">
        <f aca="false">IF($E643="","",$E643&amp;"|"&amp;T643)</f>
        <v/>
      </c>
    </row>
    <row r="644" customFormat="false" ht="15" hidden="false" customHeight="false" outlineLevel="0" collapsed="false">
      <c r="T644" s="1" t="str">
        <f aca="false">IF($E644="","",COUNTIF($E$2:$E644,$E644))</f>
        <v/>
      </c>
      <c r="U644" s="1" t="str">
        <f aca="false">IF($E644="","",$E644&amp;"|"&amp;T644)</f>
        <v/>
      </c>
    </row>
    <row r="645" customFormat="false" ht="15" hidden="false" customHeight="false" outlineLevel="0" collapsed="false">
      <c r="T645" s="1" t="str">
        <f aca="false">IF($E645="","",COUNTIF($E$2:$E645,$E645))</f>
        <v/>
      </c>
      <c r="U645" s="1" t="str">
        <f aca="false">IF($E645="","",$E645&amp;"|"&amp;T645)</f>
        <v/>
      </c>
    </row>
    <row r="646" customFormat="false" ht="15" hidden="false" customHeight="false" outlineLevel="0" collapsed="false">
      <c r="T646" s="1" t="str">
        <f aca="false">IF($E646="","",COUNTIF($E$2:$E646,$E646))</f>
        <v/>
      </c>
      <c r="U646" s="1" t="str">
        <f aca="false">IF($E646="","",$E646&amp;"|"&amp;T646)</f>
        <v/>
      </c>
    </row>
    <row r="647" customFormat="false" ht="15" hidden="false" customHeight="false" outlineLevel="0" collapsed="false">
      <c r="T647" s="1" t="str">
        <f aca="false">IF($E647="","",COUNTIF($E$2:$E647,$E647))</f>
        <v/>
      </c>
      <c r="U647" s="1" t="str">
        <f aca="false">IF($E647="","",$E647&amp;"|"&amp;T647)</f>
        <v/>
      </c>
    </row>
    <row r="648" customFormat="false" ht="15" hidden="false" customHeight="false" outlineLevel="0" collapsed="false">
      <c r="T648" s="1" t="str">
        <f aca="false">IF($E648="","",COUNTIF($E$2:$E648,$E648))</f>
        <v/>
      </c>
      <c r="U648" s="1" t="str">
        <f aca="false">IF($E648="","",$E648&amp;"|"&amp;T648)</f>
        <v/>
      </c>
    </row>
    <row r="649" customFormat="false" ht="15" hidden="false" customHeight="false" outlineLevel="0" collapsed="false">
      <c r="T649" s="1" t="str">
        <f aca="false">IF($E649="","",COUNTIF($E$2:$E649,$E649))</f>
        <v/>
      </c>
      <c r="U649" s="1" t="str">
        <f aca="false">IF($E649="","",$E649&amp;"|"&amp;T649)</f>
        <v/>
      </c>
    </row>
    <row r="650" customFormat="false" ht="15" hidden="false" customHeight="false" outlineLevel="0" collapsed="false">
      <c r="T650" s="1" t="str">
        <f aca="false">IF($E650="","",COUNTIF($E$2:$E650,$E650))</f>
        <v/>
      </c>
      <c r="U650" s="1" t="str">
        <f aca="false">IF($E650="","",$E650&amp;"|"&amp;T650)</f>
        <v/>
      </c>
    </row>
    <row r="651" customFormat="false" ht="15" hidden="false" customHeight="false" outlineLevel="0" collapsed="false">
      <c r="T651" s="1" t="str">
        <f aca="false">IF($E651="","",COUNTIF($E$2:$E651,$E651))</f>
        <v/>
      </c>
      <c r="U651" s="1" t="str">
        <f aca="false">IF($E651="","",$E651&amp;"|"&amp;T651)</f>
        <v/>
      </c>
    </row>
    <row r="652" customFormat="false" ht="15" hidden="false" customHeight="false" outlineLevel="0" collapsed="false">
      <c r="T652" s="1" t="str">
        <f aca="false">IF($E652="","",COUNTIF($E$2:$E652,$E652))</f>
        <v/>
      </c>
      <c r="U652" s="1" t="str">
        <f aca="false">IF($E652="","",$E652&amp;"|"&amp;T652)</f>
        <v/>
      </c>
    </row>
    <row r="653" customFormat="false" ht="15" hidden="false" customHeight="false" outlineLevel="0" collapsed="false">
      <c r="T653" s="1" t="str">
        <f aca="false">IF($E653="","",COUNTIF($E$2:$E653,$E653))</f>
        <v/>
      </c>
      <c r="U653" s="1" t="str">
        <f aca="false">IF($E653="","",$E653&amp;"|"&amp;T653)</f>
        <v/>
      </c>
    </row>
    <row r="654" customFormat="false" ht="15" hidden="false" customHeight="false" outlineLevel="0" collapsed="false">
      <c r="T654" s="1" t="str">
        <f aca="false">IF($E654="","",COUNTIF($E$2:$E654,$E654))</f>
        <v/>
      </c>
      <c r="U654" s="1" t="str">
        <f aca="false">IF($E654="","",$E654&amp;"|"&amp;T654)</f>
        <v/>
      </c>
    </row>
    <row r="655" customFormat="false" ht="15" hidden="false" customHeight="false" outlineLevel="0" collapsed="false">
      <c r="T655" s="1" t="str">
        <f aca="false">IF($E655="","",COUNTIF($E$2:$E655,$E655))</f>
        <v/>
      </c>
      <c r="U655" s="1" t="str">
        <f aca="false">IF($E655="","",$E655&amp;"|"&amp;T655)</f>
        <v/>
      </c>
    </row>
    <row r="656" customFormat="false" ht="15" hidden="false" customHeight="false" outlineLevel="0" collapsed="false">
      <c r="T656" s="1" t="str">
        <f aca="false">IF($E656="","",COUNTIF($E$2:$E656,$E656))</f>
        <v/>
      </c>
      <c r="U656" s="1" t="str">
        <f aca="false">IF($E656="","",$E656&amp;"|"&amp;T656)</f>
        <v/>
      </c>
    </row>
    <row r="657" customFormat="false" ht="15" hidden="false" customHeight="false" outlineLevel="0" collapsed="false">
      <c r="T657" s="1" t="str">
        <f aca="false">IF($E657="","",COUNTIF($E$2:$E657,$E657))</f>
        <v/>
      </c>
      <c r="U657" s="1" t="str">
        <f aca="false">IF($E657="","",$E657&amp;"|"&amp;T657)</f>
        <v/>
      </c>
    </row>
    <row r="658" customFormat="false" ht="15" hidden="false" customHeight="false" outlineLevel="0" collapsed="false">
      <c r="T658" s="1" t="str">
        <f aca="false">IF($E658="","",COUNTIF($E$2:$E658,$E658))</f>
        <v/>
      </c>
      <c r="U658" s="1" t="str">
        <f aca="false">IF($E658="","",$E658&amp;"|"&amp;T658)</f>
        <v/>
      </c>
    </row>
    <row r="659" customFormat="false" ht="15" hidden="false" customHeight="false" outlineLevel="0" collapsed="false">
      <c r="T659" s="1" t="str">
        <f aca="false">IF($E659="","",COUNTIF($E$2:$E659,$E659))</f>
        <v/>
      </c>
      <c r="U659" s="1" t="str">
        <f aca="false">IF($E659="","",$E659&amp;"|"&amp;T659)</f>
        <v/>
      </c>
    </row>
    <row r="660" customFormat="false" ht="15" hidden="false" customHeight="false" outlineLevel="0" collapsed="false">
      <c r="T660" s="1" t="str">
        <f aca="false">IF($E660="","",COUNTIF($E$2:$E660,$E660))</f>
        <v/>
      </c>
      <c r="U660" s="1" t="str">
        <f aca="false">IF($E660="","",$E660&amp;"|"&amp;T660)</f>
        <v/>
      </c>
    </row>
    <row r="661" customFormat="false" ht="15" hidden="false" customHeight="false" outlineLevel="0" collapsed="false">
      <c r="T661" s="1" t="str">
        <f aca="false">IF($E661="","",COUNTIF($E$2:$E661,$E661))</f>
        <v/>
      </c>
      <c r="U661" s="1" t="str">
        <f aca="false">IF($E661="","",$E661&amp;"|"&amp;T661)</f>
        <v/>
      </c>
    </row>
    <row r="662" customFormat="false" ht="15" hidden="false" customHeight="false" outlineLevel="0" collapsed="false">
      <c r="T662" s="1" t="str">
        <f aca="false">IF($E662="","",COUNTIF($E$2:$E662,$E662))</f>
        <v/>
      </c>
      <c r="U662" s="1" t="str">
        <f aca="false">IF($E662="","",$E662&amp;"|"&amp;T662)</f>
        <v/>
      </c>
    </row>
    <row r="663" customFormat="false" ht="15" hidden="false" customHeight="false" outlineLevel="0" collapsed="false">
      <c r="T663" s="1" t="str">
        <f aca="false">IF($E663="","",COUNTIF($E$2:$E663,$E663))</f>
        <v/>
      </c>
      <c r="U663" s="1" t="str">
        <f aca="false">IF($E663="","",$E663&amp;"|"&amp;T663)</f>
        <v/>
      </c>
    </row>
    <row r="664" customFormat="false" ht="15" hidden="false" customHeight="false" outlineLevel="0" collapsed="false">
      <c r="T664" s="1" t="str">
        <f aca="false">IF($E664="","",COUNTIF($E$2:$E664,$E664))</f>
        <v/>
      </c>
      <c r="U664" s="1" t="str">
        <f aca="false">IF($E664="","",$E664&amp;"|"&amp;T664)</f>
        <v/>
      </c>
    </row>
    <row r="665" customFormat="false" ht="15" hidden="false" customHeight="false" outlineLevel="0" collapsed="false">
      <c r="T665" s="1" t="str">
        <f aca="false">IF($E665="","",COUNTIF($E$2:$E665,$E665))</f>
        <v/>
      </c>
      <c r="U665" s="1" t="str">
        <f aca="false">IF($E665="","",$E665&amp;"|"&amp;T665)</f>
        <v/>
      </c>
    </row>
    <row r="666" customFormat="false" ht="15" hidden="false" customHeight="false" outlineLevel="0" collapsed="false">
      <c r="T666" s="1" t="str">
        <f aca="false">IF($E666="","",COUNTIF($E$2:$E666,$E666))</f>
        <v/>
      </c>
      <c r="U666" s="1" t="str">
        <f aca="false">IF($E666="","",$E666&amp;"|"&amp;T666)</f>
        <v/>
      </c>
    </row>
    <row r="667" customFormat="false" ht="15" hidden="false" customHeight="false" outlineLevel="0" collapsed="false">
      <c r="T667" s="1" t="str">
        <f aca="false">IF($E667="","",COUNTIF($E$2:$E667,$E667))</f>
        <v/>
      </c>
      <c r="U667" s="1" t="str">
        <f aca="false">IF($E667="","",$E667&amp;"|"&amp;T667)</f>
        <v/>
      </c>
    </row>
    <row r="668" customFormat="false" ht="15" hidden="false" customHeight="false" outlineLevel="0" collapsed="false">
      <c r="T668" s="1" t="str">
        <f aca="false">IF($E668="","",COUNTIF($E$2:$E668,$E668))</f>
        <v/>
      </c>
      <c r="U668" s="1" t="str">
        <f aca="false">IF($E668="","",$E668&amp;"|"&amp;T668)</f>
        <v/>
      </c>
    </row>
    <row r="669" customFormat="false" ht="15" hidden="false" customHeight="false" outlineLevel="0" collapsed="false">
      <c r="T669" s="1" t="str">
        <f aca="false">IF($E669="","",COUNTIF($E$2:$E669,$E669))</f>
        <v/>
      </c>
      <c r="U669" s="1" t="str">
        <f aca="false">IF($E669="","",$E669&amp;"|"&amp;T669)</f>
        <v/>
      </c>
    </row>
    <row r="670" customFormat="false" ht="15" hidden="false" customHeight="false" outlineLevel="0" collapsed="false">
      <c r="T670" s="1" t="str">
        <f aca="false">IF($E670="","",COUNTIF($E$2:$E670,$E670))</f>
        <v/>
      </c>
      <c r="U670" s="1" t="str">
        <f aca="false">IF($E670="","",$E670&amp;"|"&amp;T670)</f>
        <v/>
      </c>
    </row>
    <row r="671" customFormat="false" ht="15" hidden="false" customHeight="false" outlineLevel="0" collapsed="false">
      <c r="T671" s="1" t="str">
        <f aca="false">IF($E671="","",COUNTIF($E$2:$E671,$E671))</f>
        <v/>
      </c>
      <c r="U671" s="1" t="str">
        <f aca="false">IF($E671="","",$E671&amp;"|"&amp;T671)</f>
        <v/>
      </c>
    </row>
    <row r="672" customFormat="false" ht="15" hidden="false" customHeight="false" outlineLevel="0" collapsed="false">
      <c r="T672" s="1" t="str">
        <f aca="false">IF($E672="","",COUNTIF($E$2:$E672,$E672))</f>
        <v/>
      </c>
      <c r="U672" s="1" t="str">
        <f aca="false">IF($E672="","",$E672&amp;"|"&amp;T672)</f>
        <v/>
      </c>
    </row>
    <row r="673" customFormat="false" ht="15" hidden="false" customHeight="false" outlineLevel="0" collapsed="false">
      <c r="T673" s="1" t="str">
        <f aca="false">IF($E673="","",COUNTIF($E$2:$E673,$E673))</f>
        <v/>
      </c>
      <c r="U673" s="1" t="str">
        <f aca="false">IF($E673="","",$E673&amp;"|"&amp;T673)</f>
        <v/>
      </c>
    </row>
    <row r="674" customFormat="false" ht="15" hidden="false" customHeight="false" outlineLevel="0" collapsed="false">
      <c r="T674" s="1" t="str">
        <f aca="false">IF($E674="","",COUNTIF($E$2:$E674,$E674))</f>
        <v/>
      </c>
      <c r="U674" s="1" t="str">
        <f aca="false">IF($E674="","",$E674&amp;"|"&amp;T674)</f>
        <v/>
      </c>
    </row>
    <row r="675" customFormat="false" ht="15" hidden="false" customHeight="false" outlineLevel="0" collapsed="false">
      <c r="T675" s="1" t="str">
        <f aca="false">IF($E675="","",COUNTIF($E$2:$E675,$E675))</f>
        <v/>
      </c>
      <c r="U675" s="1" t="str">
        <f aca="false">IF($E675="","",$E675&amp;"|"&amp;T675)</f>
        <v/>
      </c>
    </row>
    <row r="676" customFormat="false" ht="15" hidden="false" customHeight="false" outlineLevel="0" collapsed="false">
      <c r="T676" s="1" t="str">
        <f aca="false">IF($E676="","",COUNTIF($E$2:$E676,$E676))</f>
        <v/>
      </c>
      <c r="U676" s="1" t="str">
        <f aca="false">IF($E676="","",$E676&amp;"|"&amp;T676)</f>
        <v/>
      </c>
    </row>
    <row r="677" customFormat="false" ht="15" hidden="false" customHeight="false" outlineLevel="0" collapsed="false">
      <c r="T677" s="1" t="str">
        <f aca="false">IF($E677="","",COUNTIF($E$2:$E677,$E677))</f>
        <v/>
      </c>
      <c r="U677" s="1" t="str">
        <f aca="false">IF($E677="","",$E677&amp;"|"&amp;T677)</f>
        <v/>
      </c>
    </row>
    <row r="678" customFormat="false" ht="15" hidden="false" customHeight="false" outlineLevel="0" collapsed="false">
      <c r="T678" s="1" t="str">
        <f aca="false">IF($E678="","",COUNTIF($E$2:$E678,$E678))</f>
        <v/>
      </c>
      <c r="U678" s="1" t="str">
        <f aca="false">IF($E678="","",$E678&amp;"|"&amp;T678)</f>
        <v/>
      </c>
    </row>
    <row r="679" customFormat="false" ht="15" hidden="false" customHeight="false" outlineLevel="0" collapsed="false">
      <c r="T679" s="1" t="str">
        <f aca="false">IF($E679="","",COUNTIF($E$2:$E679,$E679))</f>
        <v/>
      </c>
      <c r="U679" s="1" t="str">
        <f aca="false">IF($E679="","",$E679&amp;"|"&amp;T679)</f>
        <v/>
      </c>
    </row>
    <row r="680" customFormat="false" ht="15" hidden="false" customHeight="false" outlineLevel="0" collapsed="false">
      <c r="T680" s="1" t="str">
        <f aca="false">IF($E680="","",COUNTIF($E$2:$E680,$E680))</f>
        <v/>
      </c>
      <c r="U680" s="1" t="str">
        <f aca="false">IF($E680="","",$E680&amp;"|"&amp;T680)</f>
        <v/>
      </c>
    </row>
    <row r="681" customFormat="false" ht="15" hidden="false" customHeight="false" outlineLevel="0" collapsed="false">
      <c r="T681" s="1" t="str">
        <f aca="false">IF($E681="","",COUNTIF($E$2:$E681,$E681))</f>
        <v/>
      </c>
      <c r="U681" s="1" t="str">
        <f aca="false">IF($E681="","",$E681&amp;"|"&amp;T681)</f>
        <v/>
      </c>
    </row>
    <row r="682" customFormat="false" ht="15" hidden="false" customHeight="false" outlineLevel="0" collapsed="false">
      <c r="T682" s="1" t="str">
        <f aca="false">IF($E682="","",COUNTIF($E$2:$E682,$E682))</f>
        <v/>
      </c>
      <c r="U682" s="1" t="str">
        <f aca="false">IF($E682="","",$E682&amp;"|"&amp;T682)</f>
        <v/>
      </c>
    </row>
    <row r="683" customFormat="false" ht="15" hidden="false" customHeight="false" outlineLevel="0" collapsed="false">
      <c r="T683" s="1" t="str">
        <f aca="false">IF($E683="","",COUNTIF($E$2:$E683,$E683))</f>
        <v/>
      </c>
      <c r="U683" s="1" t="str">
        <f aca="false">IF($E683="","",$E683&amp;"|"&amp;T683)</f>
        <v/>
      </c>
    </row>
    <row r="684" customFormat="false" ht="15" hidden="false" customHeight="false" outlineLevel="0" collapsed="false">
      <c r="T684" s="1" t="str">
        <f aca="false">IF($E684="","",COUNTIF($E$2:$E684,$E684))</f>
        <v/>
      </c>
      <c r="U684" s="1" t="str">
        <f aca="false">IF($E684="","",$E684&amp;"|"&amp;T684)</f>
        <v/>
      </c>
    </row>
    <row r="685" customFormat="false" ht="15" hidden="false" customHeight="false" outlineLevel="0" collapsed="false">
      <c r="T685" s="1" t="str">
        <f aca="false">IF($E685="","",COUNTIF($E$2:$E685,$E685))</f>
        <v/>
      </c>
      <c r="U685" s="1" t="str">
        <f aca="false">IF($E685="","",$E685&amp;"|"&amp;T685)</f>
        <v/>
      </c>
    </row>
    <row r="686" customFormat="false" ht="15" hidden="false" customHeight="false" outlineLevel="0" collapsed="false">
      <c r="T686" s="1" t="str">
        <f aca="false">IF($E686="","",COUNTIF($E$2:$E686,$E686))</f>
        <v/>
      </c>
      <c r="U686" s="1" t="str">
        <f aca="false">IF($E686="","",$E686&amp;"|"&amp;T686)</f>
        <v/>
      </c>
    </row>
    <row r="687" customFormat="false" ht="15" hidden="false" customHeight="false" outlineLevel="0" collapsed="false">
      <c r="T687" s="1" t="str">
        <f aca="false">IF($E687="","",COUNTIF($E$2:$E687,$E687))</f>
        <v/>
      </c>
      <c r="U687" s="1" t="str">
        <f aca="false">IF($E687="","",$E687&amp;"|"&amp;T687)</f>
        <v/>
      </c>
    </row>
    <row r="688" customFormat="false" ht="15" hidden="false" customHeight="false" outlineLevel="0" collapsed="false">
      <c r="T688" s="1" t="str">
        <f aca="false">IF($E688="","",COUNTIF($E$2:$E688,$E688))</f>
        <v/>
      </c>
      <c r="U688" s="1" t="str">
        <f aca="false">IF($E688="","",$E688&amp;"|"&amp;T688)</f>
        <v/>
      </c>
    </row>
    <row r="689" customFormat="false" ht="15" hidden="false" customHeight="false" outlineLevel="0" collapsed="false">
      <c r="T689" s="1" t="str">
        <f aca="false">IF($E689="","",COUNTIF($E$2:$E689,$E689))</f>
        <v/>
      </c>
      <c r="U689" s="1" t="str">
        <f aca="false">IF($E689="","",$E689&amp;"|"&amp;T689)</f>
        <v/>
      </c>
    </row>
    <row r="690" customFormat="false" ht="15" hidden="false" customHeight="false" outlineLevel="0" collapsed="false">
      <c r="T690" s="1" t="str">
        <f aca="false">IF($E690="","",COUNTIF($E$2:$E690,$E690))</f>
        <v/>
      </c>
      <c r="U690" s="1" t="str">
        <f aca="false">IF($E690="","",$E690&amp;"|"&amp;T690)</f>
        <v/>
      </c>
    </row>
    <row r="691" customFormat="false" ht="15" hidden="false" customHeight="false" outlineLevel="0" collapsed="false">
      <c r="T691" s="1" t="str">
        <f aca="false">IF($E691="","",COUNTIF($E$2:$E691,$E691))</f>
        <v/>
      </c>
      <c r="U691" s="1" t="str">
        <f aca="false">IF($E691="","",$E691&amp;"|"&amp;T691)</f>
        <v/>
      </c>
    </row>
    <row r="692" customFormat="false" ht="15" hidden="false" customHeight="false" outlineLevel="0" collapsed="false">
      <c r="T692" s="1" t="str">
        <f aca="false">IF($E692="","",COUNTIF($E$2:$E692,$E692))</f>
        <v/>
      </c>
      <c r="U692" s="1" t="str">
        <f aca="false">IF($E692="","",$E692&amp;"|"&amp;T692)</f>
        <v/>
      </c>
    </row>
    <row r="693" customFormat="false" ht="15" hidden="false" customHeight="false" outlineLevel="0" collapsed="false">
      <c r="T693" s="1" t="str">
        <f aca="false">IF($E693="","",COUNTIF($E$2:$E693,$E693))</f>
        <v/>
      </c>
      <c r="U693" s="1" t="str">
        <f aca="false">IF($E693="","",$E693&amp;"|"&amp;T693)</f>
        <v/>
      </c>
    </row>
    <row r="694" customFormat="false" ht="15" hidden="false" customHeight="false" outlineLevel="0" collapsed="false">
      <c r="T694" s="1" t="str">
        <f aca="false">IF($E694="","",COUNTIF($E$2:$E694,$E694))</f>
        <v/>
      </c>
      <c r="U694" s="1" t="str">
        <f aca="false">IF($E694="","",$E694&amp;"|"&amp;T694)</f>
        <v/>
      </c>
    </row>
    <row r="695" customFormat="false" ht="15" hidden="false" customHeight="false" outlineLevel="0" collapsed="false">
      <c r="T695" s="1" t="str">
        <f aca="false">IF($E695="","",COUNTIF($E$2:$E695,$E695))</f>
        <v/>
      </c>
      <c r="U695" s="1" t="str">
        <f aca="false">IF($E695="","",$E695&amp;"|"&amp;T695)</f>
        <v/>
      </c>
    </row>
    <row r="696" customFormat="false" ht="15" hidden="false" customHeight="false" outlineLevel="0" collapsed="false">
      <c r="T696" s="1" t="str">
        <f aca="false">IF($E696="","",COUNTIF($E$2:$E696,$E696))</f>
        <v/>
      </c>
      <c r="U696" s="1" t="str">
        <f aca="false">IF($E696="","",$E696&amp;"|"&amp;T696)</f>
        <v/>
      </c>
    </row>
    <row r="697" customFormat="false" ht="15" hidden="false" customHeight="false" outlineLevel="0" collapsed="false">
      <c r="T697" s="1" t="str">
        <f aca="false">IF($E697="","",COUNTIF($E$2:$E697,$E697))</f>
        <v/>
      </c>
      <c r="U697" s="1" t="str">
        <f aca="false">IF($E697="","",$E697&amp;"|"&amp;T697)</f>
        <v/>
      </c>
    </row>
    <row r="698" customFormat="false" ht="15" hidden="false" customHeight="false" outlineLevel="0" collapsed="false">
      <c r="T698" s="1" t="str">
        <f aca="false">IF($E698="","",COUNTIF($E$2:$E698,$E698))</f>
        <v/>
      </c>
      <c r="U698" s="1" t="str">
        <f aca="false">IF($E698="","",$E698&amp;"|"&amp;T698)</f>
        <v/>
      </c>
    </row>
    <row r="699" customFormat="false" ht="15" hidden="false" customHeight="false" outlineLevel="0" collapsed="false">
      <c r="T699" s="1" t="str">
        <f aca="false">IF($E699="","",COUNTIF($E$2:$E699,$E699))</f>
        <v/>
      </c>
      <c r="U699" s="1" t="str">
        <f aca="false">IF($E699="","",$E699&amp;"|"&amp;T699)</f>
        <v/>
      </c>
    </row>
    <row r="700" customFormat="false" ht="15" hidden="false" customHeight="false" outlineLevel="0" collapsed="false">
      <c r="T700" s="1" t="str">
        <f aca="false">IF($E700="","",COUNTIF($E$2:$E700,$E700))</f>
        <v/>
      </c>
      <c r="U700" s="1" t="str">
        <f aca="false">IF($E700="","",$E700&amp;"|"&amp;T700)</f>
        <v/>
      </c>
    </row>
    <row r="701" customFormat="false" ht="15" hidden="false" customHeight="false" outlineLevel="0" collapsed="false">
      <c r="T701" s="1" t="str">
        <f aca="false">IF($E701="","",COUNTIF($E$2:$E701,$E701))</f>
        <v/>
      </c>
      <c r="U701" s="1" t="str">
        <f aca="false">IF($E701="","",$E701&amp;"|"&amp;T701)</f>
        <v/>
      </c>
    </row>
    <row r="702" customFormat="false" ht="15" hidden="false" customHeight="false" outlineLevel="0" collapsed="false">
      <c r="T702" s="1" t="str">
        <f aca="false">IF($E702="","",COUNTIF($E$2:$E702,$E702))</f>
        <v/>
      </c>
      <c r="U702" s="1" t="str">
        <f aca="false">IF($E702="","",$E702&amp;"|"&amp;T702)</f>
        <v/>
      </c>
    </row>
    <row r="703" customFormat="false" ht="15" hidden="false" customHeight="false" outlineLevel="0" collapsed="false">
      <c r="T703" s="1" t="str">
        <f aca="false">IF($E703="","",COUNTIF($E$2:$E703,$E703))</f>
        <v/>
      </c>
      <c r="U703" s="1" t="str">
        <f aca="false">IF($E703="","",$E703&amp;"|"&amp;T703)</f>
        <v/>
      </c>
    </row>
    <row r="704" customFormat="false" ht="15" hidden="false" customHeight="false" outlineLevel="0" collapsed="false">
      <c r="T704" s="1" t="str">
        <f aca="false">IF($E704="","",COUNTIF($E$2:$E704,$E704))</f>
        <v/>
      </c>
      <c r="U704" s="1" t="str">
        <f aca="false">IF($E704="","",$E704&amp;"|"&amp;T704)</f>
        <v/>
      </c>
    </row>
    <row r="705" customFormat="false" ht="15" hidden="false" customHeight="false" outlineLevel="0" collapsed="false">
      <c r="T705" s="1" t="str">
        <f aca="false">IF($E705="","",COUNTIF($E$2:$E705,$E705))</f>
        <v/>
      </c>
      <c r="U705" s="1" t="str">
        <f aca="false">IF($E705="","",$E705&amp;"|"&amp;T705)</f>
        <v/>
      </c>
    </row>
    <row r="706" customFormat="false" ht="15" hidden="false" customHeight="false" outlineLevel="0" collapsed="false">
      <c r="T706" s="1" t="str">
        <f aca="false">IF($E706="","",COUNTIF($E$2:$E706,$E706))</f>
        <v/>
      </c>
      <c r="U706" s="1" t="str">
        <f aca="false">IF($E706="","",$E706&amp;"|"&amp;T706)</f>
        <v/>
      </c>
    </row>
    <row r="707" customFormat="false" ht="15" hidden="false" customHeight="false" outlineLevel="0" collapsed="false">
      <c r="T707" s="1" t="str">
        <f aca="false">IF($E707="","",COUNTIF($E$2:$E707,$E707))</f>
        <v/>
      </c>
      <c r="U707" s="1" t="str">
        <f aca="false">IF($E707="","",$E707&amp;"|"&amp;T707)</f>
        <v/>
      </c>
    </row>
    <row r="708" customFormat="false" ht="15" hidden="false" customHeight="false" outlineLevel="0" collapsed="false">
      <c r="T708" s="1" t="str">
        <f aca="false">IF($E708="","",COUNTIF($E$2:$E708,$E708))</f>
        <v/>
      </c>
      <c r="U708" s="1" t="str">
        <f aca="false">IF($E708="","",$E708&amp;"|"&amp;T708)</f>
        <v/>
      </c>
    </row>
    <row r="709" customFormat="false" ht="15" hidden="false" customHeight="false" outlineLevel="0" collapsed="false">
      <c r="T709" s="1" t="str">
        <f aca="false">IF($E709="","",COUNTIF($E$2:$E709,$E709))</f>
        <v/>
      </c>
      <c r="U709" s="1" t="str">
        <f aca="false">IF($E709="","",$E709&amp;"|"&amp;T709)</f>
        <v/>
      </c>
    </row>
    <row r="710" customFormat="false" ht="15" hidden="false" customHeight="false" outlineLevel="0" collapsed="false">
      <c r="T710" s="1" t="str">
        <f aca="false">IF($E710="","",COUNTIF($E$2:$E710,$E710))</f>
        <v/>
      </c>
      <c r="U710" s="1" t="str">
        <f aca="false">IF($E710="","",$E710&amp;"|"&amp;T710)</f>
        <v/>
      </c>
    </row>
    <row r="711" customFormat="false" ht="15" hidden="false" customHeight="false" outlineLevel="0" collapsed="false">
      <c r="T711" s="1" t="str">
        <f aca="false">IF($E711="","",COUNTIF($E$2:$E711,$E711))</f>
        <v/>
      </c>
      <c r="U711" s="1" t="str">
        <f aca="false">IF($E711="","",$E711&amp;"|"&amp;T711)</f>
        <v/>
      </c>
    </row>
    <row r="712" customFormat="false" ht="15" hidden="false" customHeight="false" outlineLevel="0" collapsed="false">
      <c r="T712" s="1" t="str">
        <f aca="false">IF($E712="","",COUNTIF($E$2:$E712,$E712))</f>
        <v/>
      </c>
      <c r="U712" s="1" t="str">
        <f aca="false">IF($E712="","",$E712&amp;"|"&amp;T712)</f>
        <v/>
      </c>
    </row>
    <row r="713" customFormat="false" ht="15" hidden="false" customHeight="false" outlineLevel="0" collapsed="false">
      <c r="T713" s="1" t="str">
        <f aca="false">IF($E713="","",COUNTIF($E$2:$E713,$E713))</f>
        <v/>
      </c>
      <c r="U713" s="1" t="str">
        <f aca="false">IF($E713="","",$E713&amp;"|"&amp;T713)</f>
        <v/>
      </c>
    </row>
    <row r="714" customFormat="false" ht="15" hidden="false" customHeight="false" outlineLevel="0" collapsed="false">
      <c r="T714" s="1" t="str">
        <f aca="false">IF($E714="","",COUNTIF($E$2:$E714,$E714))</f>
        <v/>
      </c>
      <c r="U714" s="1" t="str">
        <f aca="false">IF($E714="","",$E714&amp;"|"&amp;T714)</f>
        <v/>
      </c>
    </row>
    <row r="715" customFormat="false" ht="15" hidden="false" customHeight="false" outlineLevel="0" collapsed="false">
      <c r="T715" s="1" t="str">
        <f aca="false">IF($E715="","",COUNTIF($E$2:$E715,$E715))</f>
        <v/>
      </c>
      <c r="U715" s="1" t="str">
        <f aca="false">IF($E715="","",$E715&amp;"|"&amp;T715)</f>
        <v/>
      </c>
    </row>
    <row r="716" customFormat="false" ht="15" hidden="false" customHeight="false" outlineLevel="0" collapsed="false">
      <c r="T716" s="1" t="str">
        <f aca="false">IF($E716="","",COUNTIF($E$2:$E716,$E716))</f>
        <v/>
      </c>
      <c r="U716" s="1" t="str">
        <f aca="false">IF($E716="","",$E716&amp;"|"&amp;T716)</f>
        <v/>
      </c>
    </row>
    <row r="717" customFormat="false" ht="15" hidden="false" customHeight="false" outlineLevel="0" collapsed="false">
      <c r="T717" s="1" t="str">
        <f aca="false">IF($E717="","",COUNTIF($E$2:$E717,$E717))</f>
        <v/>
      </c>
      <c r="U717" s="1" t="str">
        <f aca="false">IF($E717="","",$E717&amp;"|"&amp;T717)</f>
        <v/>
      </c>
    </row>
    <row r="718" customFormat="false" ht="15" hidden="false" customHeight="false" outlineLevel="0" collapsed="false">
      <c r="T718" s="1" t="str">
        <f aca="false">IF($E718="","",COUNTIF($E$2:$E718,$E718))</f>
        <v/>
      </c>
      <c r="U718" s="1" t="str">
        <f aca="false">IF($E718="","",$E718&amp;"|"&amp;T718)</f>
        <v/>
      </c>
    </row>
    <row r="719" customFormat="false" ht="15" hidden="false" customHeight="false" outlineLevel="0" collapsed="false">
      <c r="T719" s="1" t="str">
        <f aca="false">IF($E719="","",COUNTIF($E$2:$E719,$E719))</f>
        <v/>
      </c>
      <c r="U719" s="1" t="str">
        <f aca="false">IF($E719="","",$E719&amp;"|"&amp;T719)</f>
        <v/>
      </c>
    </row>
    <row r="720" customFormat="false" ht="15" hidden="false" customHeight="false" outlineLevel="0" collapsed="false">
      <c r="T720" s="1" t="str">
        <f aca="false">IF($E720="","",COUNTIF($E$2:$E720,$E720))</f>
        <v/>
      </c>
      <c r="U720" s="1" t="str">
        <f aca="false">IF($E720="","",$E720&amp;"|"&amp;T720)</f>
        <v/>
      </c>
    </row>
    <row r="721" customFormat="false" ht="15" hidden="false" customHeight="false" outlineLevel="0" collapsed="false">
      <c r="T721" s="1" t="str">
        <f aca="false">IF($E721="","",COUNTIF($E$2:$E721,$E721))</f>
        <v/>
      </c>
      <c r="U721" s="1" t="str">
        <f aca="false">IF($E721="","",$E721&amp;"|"&amp;T721)</f>
        <v/>
      </c>
    </row>
    <row r="722" customFormat="false" ht="15" hidden="false" customHeight="false" outlineLevel="0" collapsed="false">
      <c r="T722" s="1" t="str">
        <f aca="false">IF($E722="","",COUNTIF($E$2:$E722,$E722))</f>
        <v/>
      </c>
      <c r="U722" s="1" t="str">
        <f aca="false">IF($E722="","",$E722&amp;"|"&amp;T722)</f>
        <v/>
      </c>
    </row>
    <row r="723" customFormat="false" ht="15" hidden="false" customHeight="false" outlineLevel="0" collapsed="false">
      <c r="T723" s="1" t="str">
        <f aca="false">IF($E723="","",COUNTIF($E$2:$E723,$E723))</f>
        <v/>
      </c>
      <c r="U723" s="1" t="str">
        <f aca="false">IF($E723="","",$E723&amp;"|"&amp;T723)</f>
        <v/>
      </c>
    </row>
    <row r="724" customFormat="false" ht="15" hidden="false" customHeight="false" outlineLevel="0" collapsed="false">
      <c r="T724" s="1" t="str">
        <f aca="false">IF($E724="","",COUNTIF($E$2:$E724,$E724))</f>
        <v/>
      </c>
      <c r="U724" s="1" t="str">
        <f aca="false">IF($E724="","",$E724&amp;"|"&amp;T724)</f>
        <v/>
      </c>
    </row>
    <row r="725" customFormat="false" ht="15" hidden="false" customHeight="false" outlineLevel="0" collapsed="false">
      <c r="T725" s="1" t="str">
        <f aca="false">IF($E725="","",COUNTIF($E$2:$E725,$E725))</f>
        <v/>
      </c>
      <c r="U725" s="1" t="str">
        <f aca="false">IF($E725="","",$E725&amp;"|"&amp;T725)</f>
        <v/>
      </c>
    </row>
    <row r="726" customFormat="false" ht="15" hidden="false" customHeight="false" outlineLevel="0" collapsed="false">
      <c r="T726" s="1" t="str">
        <f aca="false">IF($E726="","",COUNTIF($E$2:$E726,$E726))</f>
        <v/>
      </c>
      <c r="U726" s="1" t="str">
        <f aca="false">IF($E726="","",$E726&amp;"|"&amp;T726)</f>
        <v/>
      </c>
    </row>
    <row r="727" customFormat="false" ht="15" hidden="false" customHeight="false" outlineLevel="0" collapsed="false">
      <c r="T727" s="1" t="str">
        <f aca="false">IF($E727="","",COUNTIF($E$2:$E727,$E727))</f>
        <v/>
      </c>
      <c r="U727" s="1" t="str">
        <f aca="false">IF($E727="","",$E727&amp;"|"&amp;T727)</f>
        <v/>
      </c>
    </row>
    <row r="728" customFormat="false" ht="15" hidden="false" customHeight="false" outlineLevel="0" collapsed="false">
      <c r="T728" s="1" t="str">
        <f aca="false">IF($E728="","",COUNTIF($E$2:$E728,$E728))</f>
        <v/>
      </c>
      <c r="U728" s="1" t="str">
        <f aca="false">IF($E728="","",$E728&amp;"|"&amp;T728)</f>
        <v/>
      </c>
    </row>
    <row r="729" customFormat="false" ht="15" hidden="false" customHeight="false" outlineLevel="0" collapsed="false">
      <c r="T729" s="1" t="str">
        <f aca="false">IF($E729="","",COUNTIF($E$2:$E729,$E729))</f>
        <v/>
      </c>
      <c r="U729" s="1" t="str">
        <f aca="false">IF($E729="","",$E729&amp;"|"&amp;T729)</f>
        <v/>
      </c>
    </row>
    <row r="730" customFormat="false" ht="15" hidden="false" customHeight="false" outlineLevel="0" collapsed="false">
      <c r="T730" s="1" t="str">
        <f aca="false">IF($E730="","",COUNTIF($E$2:$E730,$E730))</f>
        <v/>
      </c>
      <c r="U730" s="1" t="str">
        <f aca="false">IF($E730="","",$E730&amp;"|"&amp;T730)</f>
        <v/>
      </c>
    </row>
    <row r="731" customFormat="false" ht="15" hidden="false" customHeight="false" outlineLevel="0" collapsed="false">
      <c r="T731" s="1" t="str">
        <f aca="false">IF($E731="","",COUNTIF($E$2:$E731,$E731))</f>
        <v/>
      </c>
      <c r="U731" s="1" t="str">
        <f aca="false">IF($E731="","",$E731&amp;"|"&amp;T731)</f>
        <v/>
      </c>
    </row>
    <row r="732" customFormat="false" ht="15" hidden="false" customHeight="false" outlineLevel="0" collapsed="false">
      <c r="T732" s="1" t="str">
        <f aca="false">IF($E732="","",COUNTIF($E$2:$E732,$E732))</f>
        <v/>
      </c>
      <c r="U732" s="1" t="str">
        <f aca="false">IF($E732="","",$E732&amp;"|"&amp;T732)</f>
        <v/>
      </c>
    </row>
    <row r="733" customFormat="false" ht="15" hidden="false" customHeight="false" outlineLevel="0" collapsed="false">
      <c r="T733" s="1" t="str">
        <f aca="false">IF($E733="","",COUNTIF($E$2:$E733,$E733))</f>
        <v/>
      </c>
      <c r="U733" s="1" t="str">
        <f aca="false">IF($E733="","",$E733&amp;"|"&amp;T733)</f>
        <v/>
      </c>
    </row>
    <row r="734" customFormat="false" ht="15" hidden="false" customHeight="false" outlineLevel="0" collapsed="false">
      <c r="T734" s="1" t="str">
        <f aca="false">IF($E734="","",COUNTIF($E$2:$E734,$E734))</f>
        <v/>
      </c>
      <c r="U734" s="1" t="str">
        <f aca="false">IF($E734="","",$E734&amp;"|"&amp;T734)</f>
        <v/>
      </c>
    </row>
    <row r="735" customFormat="false" ht="15" hidden="false" customHeight="false" outlineLevel="0" collapsed="false">
      <c r="T735" s="1" t="str">
        <f aca="false">IF($E735="","",COUNTIF($E$2:$E735,$E735))</f>
        <v/>
      </c>
      <c r="U735" s="1" t="str">
        <f aca="false">IF($E735="","",$E735&amp;"|"&amp;T735)</f>
        <v/>
      </c>
    </row>
    <row r="736" customFormat="false" ht="15" hidden="false" customHeight="false" outlineLevel="0" collapsed="false">
      <c r="T736" s="1" t="str">
        <f aca="false">IF($E736="","",COUNTIF($E$2:$E736,$E736))</f>
        <v/>
      </c>
      <c r="U736" s="1" t="str">
        <f aca="false">IF($E736="","",$E736&amp;"|"&amp;T736)</f>
        <v/>
      </c>
    </row>
    <row r="737" customFormat="false" ht="15" hidden="false" customHeight="false" outlineLevel="0" collapsed="false">
      <c r="T737" s="1" t="str">
        <f aca="false">IF($E737="","",COUNTIF($E$2:$E737,$E737))</f>
        <v/>
      </c>
      <c r="U737" s="1" t="str">
        <f aca="false">IF($E737="","",$E737&amp;"|"&amp;T737)</f>
        <v/>
      </c>
    </row>
    <row r="738" customFormat="false" ht="15" hidden="false" customHeight="false" outlineLevel="0" collapsed="false">
      <c r="T738" s="1" t="str">
        <f aca="false">IF($E738="","",COUNTIF($E$2:$E738,$E738))</f>
        <v/>
      </c>
      <c r="U738" s="1" t="str">
        <f aca="false">IF($E738="","",$E738&amp;"|"&amp;T738)</f>
        <v/>
      </c>
    </row>
    <row r="739" customFormat="false" ht="15" hidden="false" customHeight="false" outlineLevel="0" collapsed="false">
      <c r="T739" s="1" t="str">
        <f aca="false">IF($E739="","",COUNTIF($E$2:$E739,$E739))</f>
        <v/>
      </c>
      <c r="U739" s="1" t="str">
        <f aca="false">IF($E739="","",$E739&amp;"|"&amp;T739)</f>
        <v/>
      </c>
    </row>
    <row r="740" customFormat="false" ht="15" hidden="false" customHeight="false" outlineLevel="0" collapsed="false">
      <c r="T740" s="1" t="str">
        <f aca="false">IF($E740="","",COUNTIF($E$2:$E740,$E740))</f>
        <v/>
      </c>
      <c r="U740" s="1" t="str">
        <f aca="false">IF($E740="","",$E740&amp;"|"&amp;T740)</f>
        <v/>
      </c>
    </row>
    <row r="741" customFormat="false" ht="15" hidden="false" customHeight="false" outlineLevel="0" collapsed="false">
      <c r="T741" s="1" t="str">
        <f aca="false">IF($E741="","",COUNTIF($E$2:$E741,$E741))</f>
        <v/>
      </c>
      <c r="U741" s="1" t="str">
        <f aca="false">IF($E741="","",$E741&amp;"|"&amp;T741)</f>
        <v/>
      </c>
    </row>
    <row r="742" customFormat="false" ht="15" hidden="false" customHeight="false" outlineLevel="0" collapsed="false">
      <c r="T742" s="1" t="str">
        <f aca="false">IF($E742="","",COUNTIF($E$2:$E742,$E742))</f>
        <v/>
      </c>
      <c r="U742" s="1" t="str">
        <f aca="false">IF($E742="","",$E742&amp;"|"&amp;T742)</f>
        <v/>
      </c>
    </row>
    <row r="743" customFormat="false" ht="15" hidden="false" customHeight="false" outlineLevel="0" collapsed="false">
      <c r="T743" s="1" t="str">
        <f aca="false">IF($E743="","",COUNTIF($E$2:$E743,$E743))</f>
        <v/>
      </c>
      <c r="U743" s="1" t="str">
        <f aca="false">IF($E743="","",$E743&amp;"|"&amp;T743)</f>
        <v/>
      </c>
    </row>
    <row r="744" customFormat="false" ht="15" hidden="false" customHeight="false" outlineLevel="0" collapsed="false">
      <c r="T744" s="1" t="str">
        <f aca="false">IF($E744="","",COUNTIF($E$2:$E744,$E744))</f>
        <v/>
      </c>
      <c r="U744" s="1" t="str">
        <f aca="false">IF($E744="","",$E744&amp;"|"&amp;T744)</f>
        <v/>
      </c>
    </row>
    <row r="745" customFormat="false" ht="15" hidden="false" customHeight="false" outlineLevel="0" collapsed="false">
      <c r="T745" s="1" t="str">
        <f aca="false">IF($E745="","",COUNTIF($E$2:$E745,$E745))</f>
        <v/>
      </c>
      <c r="U745" s="1" t="str">
        <f aca="false">IF($E745="","",$E745&amp;"|"&amp;T745)</f>
        <v/>
      </c>
    </row>
    <row r="746" customFormat="false" ht="15" hidden="false" customHeight="false" outlineLevel="0" collapsed="false">
      <c r="T746" s="1" t="str">
        <f aca="false">IF($E746="","",COUNTIF($E$2:$E746,$E746))</f>
        <v/>
      </c>
      <c r="U746" s="1" t="str">
        <f aca="false">IF($E746="","",$E746&amp;"|"&amp;T746)</f>
        <v/>
      </c>
    </row>
    <row r="747" customFormat="false" ht="15" hidden="false" customHeight="false" outlineLevel="0" collapsed="false">
      <c r="T747" s="1" t="str">
        <f aca="false">IF($E747="","",COUNTIF($E$2:$E747,$E747))</f>
        <v/>
      </c>
      <c r="U747" s="1" t="str">
        <f aca="false">IF($E747="","",$E747&amp;"|"&amp;T747)</f>
        <v/>
      </c>
    </row>
    <row r="748" customFormat="false" ht="15" hidden="false" customHeight="false" outlineLevel="0" collapsed="false">
      <c r="T748" s="1" t="str">
        <f aca="false">IF($E748="","",COUNTIF($E$2:$E748,$E748))</f>
        <v/>
      </c>
      <c r="U748" s="1" t="str">
        <f aca="false">IF($E748="","",$E748&amp;"|"&amp;T748)</f>
        <v/>
      </c>
    </row>
    <row r="749" customFormat="false" ht="15" hidden="false" customHeight="false" outlineLevel="0" collapsed="false">
      <c r="T749" s="1" t="str">
        <f aca="false">IF($E749="","",COUNTIF($E$2:$E749,$E749))</f>
        <v/>
      </c>
      <c r="U749" s="1" t="str">
        <f aca="false">IF($E749="","",$E749&amp;"|"&amp;T749)</f>
        <v/>
      </c>
    </row>
    <row r="750" customFormat="false" ht="15" hidden="false" customHeight="false" outlineLevel="0" collapsed="false">
      <c r="T750" s="1" t="str">
        <f aca="false">IF($E750="","",COUNTIF($E$2:$E750,$E750))</f>
        <v/>
      </c>
      <c r="U750" s="1" t="str">
        <f aca="false">IF($E750="","",$E750&amp;"|"&amp;T750)</f>
        <v/>
      </c>
    </row>
    <row r="751" customFormat="false" ht="15" hidden="false" customHeight="false" outlineLevel="0" collapsed="false">
      <c r="T751" s="1" t="str">
        <f aca="false">IF($E751="","",COUNTIF($E$2:$E751,$E751))</f>
        <v/>
      </c>
      <c r="U751" s="1" t="str">
        <f aca="false">IF($E751="","",$E751&amp;"|"&amp;T751)</f>
        <v/>
      </c>
    </row>
    <row r="752" customFormat="false" ht="15" hidden="false" customHeight="false" outlineLevel="0" collapsed="false">
      <c r="T752" s="1" t="str">
        <f aca="false">IF($E752="","",COUNTIF($E$2:$E752,$E752))</f>
        <v/>
      </c>
      <c r="U752" s="1" t="str">
        <f aca="false">IF($E752="","",$E752&amp;"|"&amp;T752)</f>
        <v/>
      </c>
    </row>
    <row r="753" customFormat="false" ht="15" hidden="false" customHeight="false" outlineLevel="0" collapsed="false">
      <c r="T753" s="1" t="str">
        <f aca="false">IF($E753="","",COUNTIF($E$2:$E753,$E753))</f>
        <v/>
      </c>
      <c r="U753" s="1" t="str">
        <f aca="false">IF($E753="","",$E753&amp;"|"&amp;T753)</f>
        <v/>
      </c>
    </row>
    <row r="754" customFormat="false" ht="15" hidden="false" customHeight="false" outlineLevel="0" collapsed="false">
      <c r="T754" s="1" t="str">
        <f aca="false">IF($E754="","",COUNTIF($E$2:$E754,$E754))</f>
        <v/>
      </c>
      <c r="U754" s="1" t="str">
        <f aca="false">IF($E754="","",$E754&amp;"|"&amp;T754)</f>
        <v/>
      </c>
    </row>
    <row r="755" customFormat="false" ht="15" hidden="false" customHeight="false" outlineLevel="0" collapsed="false">
      <c r="T755" s="1" t="str">
        <f aca="false">IF($E755="","",COUNTIF($E$2:$E755,$E755))</f>
        <v/>
      </c>
      <c r="U755" s="1" t="str">
        <f aca="false">IF($E755="","",$E755&amp;"|"&amp;T755)</f>
        <v/>
      </c>
    </row>
    <row r="756" customFormat="false" ht="15" hidden="false" customHeight="false" outlineLevel="0" collapsed="false">
      <c r="T756" s="1" t="str">
        <f aca="false">IF($E756="","",COUNTIF($E$2:$E756,$E756))</f>
        <v/>
      </c>
      <c r="U756" s="1" t="str">
        <f aca="false">IF($E756="","",$E756&amp;"|"&amp;T756)</f>
        <v/>
      </c>
    </row>
    <row r="757" customFormat="false" ht="15" hidden="false" customHeight="false" outlineLevel="0" collapsed="false">
      <c r="T757" s="1" t="str">
        <f aca="false">IF($E757="","",COUNTIF($E$2:$E757,$E757))</f>
        <v/>
      </c>
      <c r="U757" s="1" t="str">
        <f aca="false">IF($E757="","",$E757&amp;"|"&amp;T757)</f>
        <v/>
      </c>
    </row>
    <row r="758" customFormat="false" ht="15" hidden="false" customHeight="false" outlineLevel="0" collapsed="false">
      <c r="T758" s="1" t="str">
        <f aca="false">IF($E758="","",COUNTIF($E$2:$E758,$E758))</f>
        <v/>
      </c>
      <c r="U758" s="1" t="str">
        <f aca="false">IF($E758="","",$E758&amp;"|"&amp;T758)</f>
        <v/>
      </c>
    </row>
    <row r="759" customFormat="false" ht="15" hidden="false" customHeight="false" outlineLevel="0" collapsed="false">
      <c r="T759" s="1" t="str">
        <f aca="false">IF($E759="","",COUNTIF($E$2:$E759,$E759))</f>
        <v/>
      </c>
      <c r="U759" s="1" t="str">
        <f aca="false">IF($E759="","",$E759&amp;"|"&amp;T759)</f>
        <v/>
      </c>
    </row>
    <row r="760" customFormat="false" ht="15" hidden="false" customHeight="false" outlineLevel="0" collapsed="false">
      <c r="T760" s="1" t="str">
        <f aca="false">IF($E760="","",COUNTIF($E$2:$E760,$E760))</f>
        <v/>
      </c>
      <c r="U760" s="1" t="str">
        <f aca="false">IF($E760="","",$E760&amp;"|"&amp;T760)</f>
        <v/>
      </c>
    </row>
    <row r="761" customFormat="false" ht="15" hidden="false" customHeight="false" outlineLevel="0" collapsed="false">
      <c r="T761" s="1" t="str">
        <f aca="false">IF($E761="","",COUNTIF($E$2:$E761,$E761))</f>
        <v/>
      </c>
      <c r="U761" s="1" t="str">
        <f aca="false">IF($E761="","",$E761&amp;"|"&amp;T761)</f>
        <v/>
      </c>
    </row>
    <row r="762" customFormat="false" ht="15" hidden="false" customHeight="false" outlineLevel="0" collapsed="false">
      <c r="T762" s="1" t="str">
        <f aca="false">IF($E762="","",COUNTIF($E$2:$E762,$E762))</f>
        <v/>
      </c>
      <c r="U762" s="1" t="str">
        <f aca="false">IF($E762="","",$E762&amp;"|"&amp;T762)</f>
        <v/>
      </c>
    </row>
    <row r="763" customFormat="false" ht="15" hidden="false" customHeight="false" outlineLevel="0" collapsed="false">
      <c r="T763" s="1" t="str">
        <f aca="false">IF($E763="","",COUNTIF($E$2:$E763,$E763))</f>
        <v/>
      </c>
      <c r="U763" s="1" t="str">
        <f aca="false">IF($E763="","",$E763&amp;"|"&amp;T763)</f>
        <v/>
      </c>
    </row>
    <row r="764" customFormat="false" ht="15" hidden="false" customHeight="false" outlineLevel="0" collapsed="false">
      <c r="T764" s="1" t="str">
        <f aca="false">IF($E764="","",COUNTIF($E$2:$E764,$E764))</f>
        <v/>
      </c>
      <c r="U764" s="1" t="str">
        <f aca="false">IF($E764="","",$E764&amp;"|"&amp;T764)</f>
        <v/>
      </c>
    </row>
    <row r="765" customFormat="false" ht="15" hidden="false" customHeight="false" outlineLevel="0" collapsed="false">
      <c r="T765" s="1" t="str">
        <f aca="false">IF($E765="","",COUNTIF($E$2:$E765,$E765))</f>
        <v/>
      </c>
      <c r="U765" s="1" t="str">
        <f aca="false">IF($E765="","",$E765&amp;"|"&amp;T765)</f>
        <v/>
      </c>
    </row>
    <row r="766" customFormat="false" ht="15" hidden="false" customHeight="false" outlineLevel="0" collapsed="false">
      <c r="T766" s="1" t="str">
        <f aca="false">IF($E766="","",COUNTIF($E$2:$E766,$E766))</f>
        <v/>
      </c>
      <c r="U766" s="1" t="str">
        <f aca="false">IF($E766="","",$E766&amp;"|"&amp;T766)</f>
        <v/>
      </c>
    </row>
    <row r="767" customFormat="false" ht="15" hidden="false" customHeight="false" outlineLevel="0" collapsed="false">
      <c r="T767" s="1" t="str">
        <f aca="false">IF($E767="","",COUNTIF($E$2:$E767,$E767))</f>
        <v/>
      </c>
      <c r="U767" s="1" t="str">
        <f aca="false">IF($E767="","",$E767&amp;"|"&amp;T767)</f>
        <v/>
      </c>
    </row>
    <row r="768" customFormat="false" ht="15" hidden="false" customHeight="false" outlineLevel="0" collapsed="false">
      <c r="T768" s="1" t="str">
        <f aca="false">IF($E768="","",COUNTIF($E$2:$E768,$E768))</f>
        <v/>
      </c>
      <c r="U768" s="1" t="str">
        <f aca="false">IF($E768="","",$E768&amp;"|"&amp;T768)</f>
        <v/>
      </c>
    </row>
    <row r="769" customFormat="false" ht="15" hidden="false" customHeight="false" outlineLevel="0" collapsed="false">
      <c r="T769" s="1" t="str">
        <f aca="false">IF($E769="","",COUNTIF($E$2:$E769,$E769))</f>
        <v/>
      </c>
      <c r="U769" s="1" t="str">
        <f aca="false">IF($E769="","",$E769&amp;"|"&amp;T769)</f>
        <v/>
      </c>
    </row>
    <row r="770" customFormat="false" ht="15" hidden="false" customHeight="false" outlineLevel="0" collapsed="false">
      <c r="T770" s="1" t="str">
        <f aca="false">IF($E770="","",COUNTIF($E$2:$E770,$E770))</f>
        <v/>
      </c>
      <c r="U770" s="1" t="str">
        <f aca="false">IF($E770="","",$E770&amp;"|"&amp;T770)</f>
        <v/>
      </c>
    </row>
    <row r="771" customFormat="false" ht="15" hidden="false" customHeight="false" outlineLevel="0" collapsed="false">
      <c r="T771" s="1" t="str">
        <f aca="false">IF($E771="","",COUNTIF($E$2:$E771,$E771))</f>
        <v/>
      </c>
      <c r="U771" s="1" t="str">
        <f aca="false">IF($E771="","",$E771&amp;"|"&amp;T771)</f>
        <v/>
      </c>
    </row>
    <row r="772" customFormat="false" ht="15" hidden="false" customHeight="false" outlineLevel="0" collapsed="false">
      <c r="T772" s="1" t="str">
        <f aca="false">IF($E772="","",COUNTIF($E$2:$E772,$E772))</f>
        <v/>
      </c>
      <c r="U772" s="1" t="str">
        <f aca="false">IF($E772="","",$E772&amp;"|"&amp;T772)</f>
        <v/>
      </c>
    </row>
    <row r="773" customFormat="false" ht="15" hidden="false" customHeight="false" outlineLevel="0" collapsed="false">
      <c r="T773" s="1" t="str">
        <f aca="false">IF($E773="","",COUNTIF($E$2:$E773,$E773))</f>
        <v/>
      </c>
      <c r="U773" s="1" t="str">
        <f aca="false">IF($E773="","",$E773&amp;"|"&amp;T773)</f>
        <v/>
      </c>
    </row>
    <row r="774" customFormat="false" ht="15" hidden="false" customHeight="false" outlineLevel="0" collapsed="false">
      <c r="T774" s="1" t="str">
        <f aca="false">IF($E774="","",COUNTIF($E$2:$E774,$E774))</f>
        <v/>
      </c>
      <c r="U774" s="1" t="str">
        <f aca="false">IF($E774="","",$E774&amp;"|"&amp;T774)</f>
        <v/>
      </c>
    </row>
    <row r="775" customFormat="false" ht="15" hidden="false" customHeight="false" outlineLevel="0" collapsed="false">
      <c r="T775" s="1" t="str">
        <f aca="false">IF($E775="","",COUNTIF($E$2:$E775,$E775))</f>
        <v/>
      </c>
      <c r="U775" s="1" t="str">
        <f aca="false">IF($E775="","",$E775&amp;"|"&amp;T775)</f>
        <v/>
      </c>
    </row>
    <row r="776" customFormat="false" ht="15" hidden="false" customHeight="false" outlineLevel="0" collapsed="false">
      <c r="T776" s="1" t="str">
        <f aca="false">IF($E776="","",COUNTIF($E$2:$E776,$E776))</f>
        <v/>
      </c>
      <c r="U776" s="1" t="str">
        <f aca="false">IF($E776="","",$E776&amp;"|"&amp;T776)</f>
        <v/>
      </c>
    </row>
    <row r="777" customFormat="false" ht="15" hidden="false" customHeight="false" outlineLevel="0" collapsed="false">
      <c r="T777" s="1" t="str">
        <f aca="false">IF($E777="","",COUNTIF($E$2:$E777,$E777))</f>
        <v/>
      </c>
      <c r="U777" s="1" t="str">
        <f aca="false">IF($E777="","",$E777&amp;"|"&amp;T777)</f>
        <v/>
      </c>
    </row>
    <row r="778" customFormat="false" ht="15" hidden="false" customHeight="false" outlineLevel="0" collapsed="false">
      <c r="T778" s="1" t="str">
        <f aca="false">IF($E778="","",COUNTIF($E$2:$E778,$E778))</f>
        <v/>
      </c>
      <c r="U778" s="1" t="str">
        <f aca="false">IF($E778="","",$E778&amp;"|"&amp;T778)</f>
        <v/>
      </c>
    </row>
    <row r="779" customFormat="false" ht="15" hidden="false" customHeight="false" outlineLevel="0" collapsed="false">
      <c r="T779" s="1" t="str">
        <f aca="false">IF($E779="","",COUNTIF($E$2:$E779,$E779))</f>
        <v/>
      </c>
      <c r="U779" s="1" t="str">
        <f aca="false">IF($E779="","",$E779&amp;"|"&amp;T779)</f>
        <v/>
      </c>
    </row>
    <row r="780" customFormat="false" ht="15" hidden="false" customHeight="false" outlineLevel="0" collapsed="false">
      <c r="T780" s="1" t="str">
        <f aca="false">IF($E780="","",COUNTIF($E$2:$E780,$E780))</f>
        <v/>
      </c>
      <c r="U780" s="1" t="str">
        <f aca="false">IF($E780="","",$E780&amp;"|"&amp;T780)</f>
        <v/>
      </c>
    </row>
    <row r="781" customFormat="false" ht="15" hidden="false" customHeight="false" outlineLevel="0" collapsed="false">
      <c r="T781" s="1" t="str">
        <f aca="false">IF($E781="","",COUNTIF($E$2:$E781,$E781))</f>
        <v/>
      </c>
      <c r="U781" s="1" t="str">
        <f aca="false">IF($E781="","",$E781&amp;"|"&amp;T781)</f>
        <v/>
      </c>
    </row>
    <row r="782" customFormat="false" ht="15" hidden="false" customHeight="false" outlineLevel="0" collapsed="false">
      <c r="T782" s="1" t="str">
        <f aca="false">IF($E782="","",COUNTIF($E$2:$E782,$E782))</f>
        <v/>
      </c>
      <c r="U782" s="1" t="str">
        <f aca="false">IF($E782="","",$E782&amp;"|"&amp;T782)</f>
        <v/>
      </c>
    </row>
    <row r="783" customFormat="false" ht="15" hidden="false" customHeight="false" outlineLevel="0" collapsed="false">
      <c r="T783" s="1" t="str">
        <f aca="false">IF($E783="","",COUNTIF($E$2:$E783,$E783))</f>
        <v/>
      </c>
      <c r="U783" s="1" t="str">
        <f aca="false">IF($E783="","",$E783&amp;"|"&amp;T783)</f>
        <v/>
      </c>
    </row>
    <row r="784" customFormat="false" ht="15" hidden="false" customHeight="false" outlineLevel="0" collapsed="false">
      <c r="T784" s="1" t="str">
        <f aca="false">IF($E784="","",COUNTIF($E$2:$E784,$E784))</f>
        <v/>
      </c>
      <c r="U784" s="1" t="str">
        <f aca="false">IF($E784="","",$E784&amp;"|"&amp;T784)</f>
        <v/>
      </c>
    </row>
    <row r="785" customFormat="false" ht="15" hidden="false" customHeight="false" outlineLevel="0" collapsed="false">
      <c r="T785" s="1" t="str">
        <f aca="false">IF($E785="","",COUNTIF($E$2:$E785,$E785))</f>
        <v/>
      </c>
      <c r="U785" s="1" t="str">
        <f aca="false">IF($E785="","",$E785&amp;"|"&amp;T785)</f>
        <v/>
      </c>
    </row>
    <row r="786" customFormat="false" ht="15" hidden="false" customHeight="false" outlineLevel="0" collapsed="false">
      <c r="T786" s="1" t="str">
        <f aca="false">IF($E786="","",COUNTIF($E$2:$E786,$E786))</f>
        <v/>
      </c>
      <c r="U786" s="1" t="str">
        <f aca="false">IF($E786="","",$E786&amp;"|"&amp;T786)</f>
        <v/>
      </c>
    </row>
    <row r="787" customFormat="false" ht="15" hidden="false" customHeight="false" outlineLevel="0" collapsed="false">
      <c r="T787" s="1" t="str">
        <f aca="false">IF($E787="","",COUNTIF($E$2:$E787,$E787))</f>
        <v/>
      </c>
      <c r="U787" s="1" t="str">
        <f aca="false">IF($E787="","",$E787&amp;"|"&amp;T787)</f>
        <v/>
      </c>
    </row>
    <row r="788" customFormat="false" ht="15" hidden="false" customHeight="false" outlineLevel="0" collapsed="false">
      <c r="T788" s="1" t="str">
        <f aca="false">IF($E788="","",COUNTIF($E$2:$E788,$E788))</f>
        <v/>
      </c>
      <c r="U788" s="1" t="str">
        <f aca="false">IF($E788="","",$E788&amp;"|"&amp;T788)</f>
        <v/>
      </c>
    </row>
    <row r="789" customFormat="false" ht="15" hidden="false" customHeight="false" outlineLevel="0" collapsed="false">
      <c r="T789" s="1" t="str">
        <f aca="false">IF($E789="","",COUNTIF($E$2:$E789,$E789))</f>
        <v/>
      </c>
      <c r="U789" s="1" t="str">
        <f aca="false">IF($E789="","",$E789&amp;"|"&amp;T789)</f>
        <v/>
      </c>
    </row>
    <row r="790" customFormat="false" ht="15" hidden="false" customHeight="false" outlineLevel="0" collapsed="false">
      <c r="T790" s="1" t="str">
        <f aca="false">IF($E790="","",COUNTIF($E$2:$E790,$E790))</f>
        <v/>
      </c>
      <c r="U790" s="1" t="str">
        <f aca="false">IF($E790="","",$E790&amp;"|"&amp;T790)</f>
        <v/>
      </c>
    </row>
    <row r="791" customFormat="false" ht="15" hidden="false" customHeight="false" outlineLevel="0" collapsed="false">
      <c r="T791" s="1" t="str">
        <f aca="false">IF($E791="","",COUNTIF($E$2:$E791,$E791))</f>
        <v/>
      </c>
      <c r="U791" s="1" t="str">
        <f aca="false">IF($E791="","",$E791&amp;"|"&amp;T791)</f>
        <v/>
      </c>
    </row>
    <row r="792" customFormat="false" ht="15" hidden="false" customHeight="false" outlineLevel="0" collapsed="false">
      <c r="T792" s="1" t="str">
        <f aca="false">IF($E792="","",COUNTIF($E$2:$E792,$E792))</f>
        <v/>
      </c>
      <c r="U792" s="1" t="str">
        <f aca="false">IF($E792="","",$E792&amp;"|"&amp;T792)</f>
        <v/>
      </c>
    </row>
    <row r="793" customFormat="false" ht="15" hidden="false" customHeight="false" outlineLevel="0" collapsed="false">
      <c r="T793" s="1" t="str">
        <f aca="false">IF($E793="","",COUNTIF($E$2:$E793,$E793))</f>
        <v/>
      </c>
      <c r="U793" s="1" t="str">
        <f aca="false">IF($E793="","",$E793&amp;"|"&amp;T793)</f>
        <v/>
      </c>
    </row>
    <row r="794" customFormat="false" ht="15" hidden="false" customHeight="false" outlineLevel="0" collapsed="false">
      <c r="T794" s="1" t="str">
        <f aca="false">IF($E794="","",COUNTIF($E$2:$E794,$E794))</f>
        <v/>
      </c>
      <c r="U794" s="1" t="str">
        <f aca="false">IF($E794="","",$E794&amp;"|"&amp;T794)</f>
        <v/>
      </c>
    </row>
    <row r="795" customFormat="false" ht="15" hidden="false" customHeight="false" outlineLevel="0" collapsed="false">
      <c r="T795" s="1" t="str">
        <f aca="false">IF($E795="","",COUNTIF($E$2:$E795,$E795))</f>
        <v/>
      </c>
      <c r="U795" s="1" t="str">
        <f aca="false">IF($E795="","",$E795&amp;"|"&amp;T795)</f>
        <v/>
      </c>
    </row>
    <row r="796" customFormat="false" ht="15" hidden="false" customHeight="false" outlineLevel="0" collapsed="false">
      <c r="T796" s="1" t="str">
        <f aca="false">IF($E796="","",COUNTIF($E$2:$E796,$E796))</f>
        <v/>
      </c>
      <c r="U796" s="1" t="str">
        <f aca="false">IF($E796="","",$E796&amp;"|"&amp;T796)</f>
        <v/>
      </c>
    </row>
    <row r="797" customFormat="false" ht="15" hidden="false" customHeight="false" outlineLevel="0" collapsed="false">
      <c r="T797" s="1" t="str">
        <f aca="false">IF($E797="","",COUNTIF($E$2:$E797,$E797))</f>
        <v/>
      </c>
      <c r="U797" s="1" t="str">
        <f aca="false">IF($E797="","",$E797&amp;"|"&amp;T797)</f>
        <v/>
      </c>
    </row>
    <row r="798" customFormat="false" ht="15" hidden="false" customHeight="false" outlineLevel="0" collapsed="false">
      <c r="T798" s="1" t="str">
        <f aca="false">IF($E798="","",COUNTIF($E$2:$E798,$E798))</f>
        <v/>
      </c>
      <c r="U798" s="1" t="str">
        <f aca="false">IF($E798="","",$E798&amp;"|"&amp;T798)</f>
        <v/>
      </c>
    </row>
    <row r="799" customFormat="false" ht="15" hidden="false" customHeight="false" outlineLevel="0" collapsed="false">
      <c r="T799" s="1" t="str">
        <f aca="false">IF($E799="","",COUNTIF($E$2:$E799,$E799))</f>
        <v/>
      </c>
      <c r="U799" s="1" t="str">
        <f aca="false">IF($E799="","",$E799&amp;"|"&amp;T799)</f>
        <v/>
      </c>
    </row>
    <row r="800" customFormat="false" ht="15" hidden="false" customHeight="false" outlineLevel="0" collapsed="false">
      <c r="T800" s="1" t="str">
        <f aca="false">IF($E800="","",COUNTIF($E$2:$E800,$E800))</f>
        <v/>
      </c>
      <c r="U800" s="1" t="str">
        <f aca="false">IF($E800="","",$E800&amp;"|"&amp;T800)</f>
        <v/>
      </c>
    </row>
    <row r="801" customFormat="false" ht="15" hidden="false" customHeight="false" outlineLevel="0" collapsed="false">
      <c r="T801" s="1" t="str">
        <f aca="false">IF($E801="","",COUNTIF($E$2:$E801,$E801))</f>
        <v/>
      </c>
      <c r="U801" s="1" t="str">
        <f aca="false">IF($E801="","",$E801&amp;"|"&amp;T801)</f>
        <v/>
      </c>
    </row>
    <row r="802" customFormat="false" ht="15" hidden="false" customHeight="false" outlineLevel="0" collapsed="false">
      <c r="T802" s="1" t="str">
        <f aca="false">IF($E802="","",COUNTIF($E$2:$E802,$E802))</f>
        <v/>
      </c>
      <c r="U802" s="1" t="str">
        <f aca="false">IF($E802="","",$E802&amp;"|"&amp;T802)</f>
        <v/>
      </c>
    </row>
    <row r="803" customFormat="false" ht="15" hidden="false" customHeight="false" outlineLevel="0" collapsed="false">
      <c r="T803" s="1" t="str">
        <f aca="false">IF($E803="","",COUNTIF($E$2:$E803,$E803))</f>
        <v/>
      </c>
      <c r="U803" s="1" t="str">
        <f aca="false">IF($E803="","",$E803&amp;"|"&amp;T803)</f>
        <v/>
      </c>
    </row>
    <row r="804" customFormat="false" ht="15" hidden="false" customHeight="false" outlineLevel="0" collapsed="false">
      <c r="T804" s="1" t="str">
        <f aca="false">IF($E804="","",COUNTIF($E$2:$E804,$E804))</f>
        <v/>
      </c>
      <c r="U804" s="1" t="str">
        <f aca="false">IF($E804="","",$E804&amp;"|"&amp;T804)</f>
        <v/>
      </c>
    </row>
    <row r="805" customFormat="false" ht="15" hidden="false" customHeight="false" outlineLevel="0" collapsed="false">
      <c r="T805" s="1" t="str">
        <f aca="false">IF($E805="","",COUNTIF($E$2:$E805,$E805))</f>
        <v/>
      </c>
      <c r="U805" s="1" t="str">
        <f aca="false">IF($E805="","",$E805&amp;"|"&amp;T805)</f>
        <v/>
      </c>
    </row>
    <row r="806" customFormat="false" ht="15" hidden="false" customHeight="false" outlineLevel="0" collapsed="false">
      <c r="T806" s="1" t="str">
        <f aca="false">IF($E806="","",COUNTIF($E$2:$E806,$E806))</f>
        <v/>
      </c>
      <c r="U806" s="1" t="str">
        <f aca="false">IF($E806="","",$E806&amp;"|"&amp;T806)</f>
        <v/>
      </c>
    </row>
    <row r="807" customFormat="false" ht="15" hidden="false" customHeight="false" outlineLevel="0" collapsed="false">
      <c r="T807" s="1" t="str">
        <f aca="false">IF($E807="","",COUNTIF($E$2:$E807,$E807))</f>
        <v/>
      </c>
      <c r="U807" s="1" t="str">
        <f aca="false">IF($E807="","",$E807&amp;"|"&amp;T807)</f>
        <v/>
      </c>
    </row>
    <row r="808" customFormat="false" ht="15" hidden="false" customHeight="false" outlineLevel="0" collapsed="false">
      <c r="T808" s="1" t="str">
        <f aca="false">IF($E808="","",COUNTIF($E$2:$E808,$E808))</f>
        <v/>
      </c>
      <c r="U808" s="1" t="str">
        <f aca="false">IF($E808="","",$E808&amp;"|"&amp;T808)</f>
        <v/>
      </c>
    </row>
    <row r="809" customFormat="false" ht="15" hidden="false" customHeight="false" outlineLevel="0" collapsed="false">
      <c r="T809" s="1" t="str">
        <f aca="false">IF($E809="","",COUNTIF($E$2:$E809,$E809))</f>
        <v/>
      </c>
      <c r="U809" s="1" t="str">
        <f aca="false">IF($E809="","",$E809&amp;"|"&amp;T809)</f>
        <v/>
      </c>
    </row>
    <row r="810" customFormat="false" ht="15" hidden="false" customHeight="false" outlineLevel="0" collapsed="false">
      <c r="T810" s="1" t="str">
        <f aca="false">IF($E810="","",COUNTIF($E$2:$E810,$E810))</f>
        <v/>
      </c>
      <c r="U810" s="1" t="str">
        <f aca="false">IF($E810="","",$E810&amp;"|"&amp;T810)</f>
        <v/>
      </c>
    </row>
    <row r="811" customFormat="false" ht="15" hidden="false" customHeight="false" outlineLevel="0" collapsed="false">
      <c r="T811" s="1" t="str">
        <f aca="false">IF($E811="","",COUNTIF($E$2:$E811,$E811))</f>
        <v/>
      </c>
      <c r="U811" s="1" t="str">
        <f aca="false">IF($E811="","",$E811&amp;"|"&amp;T811)</f>
        <v/>
      </c>
    </row>
    <row r="812" customFormat="false" ht="15" hidden="false" customHeight="false" outlineLevel="0" collapsed="false">
      <c r="T812" s="1" t="str">
        <f aca="false">IF($E812="","",COUNTIF($E$2:$E812,$E812))</f>
        <v/>
      </c>
      <c r="U812" s="1" t="str">
        <f aca="false">IF($E812="","",$E812&amp;"|"&amp;T812)</f>
        <v/>
      </c>
    </row>
    <row r="813" customFormat="false" ht="15" hidden="false" customHeight="false" outlineLevel="0" collapsed="false">
      <c r="T813" s="1" t="str">
        <f aca="false">IF($E813="","",COUNTIF($E$2:$E813,$E813))</f>
        <v/>
      </c>
      <c r="U813" s="1" t="str">
        <f aca="false">IF($E813="","",$E813&amp;"|"&amp;T813)</f>
        <v/>
      </c>
    </row>
    <row r="814" customFormat="false" ht="15" hidden="false" customHeight="false" outlineLevel="0" collapsed="false">
      <c r="T814" s="1" t="str">
        <f aca="false">IF($E814="","",COUNTIF($E$2:$E814,$E814))</f>
        <v/>
      </c>
      <c r="U814" s="1" t="str">
        <f aca="false">IF($E814="","",$E814&amp;"|"&amp;T814)</f>
        <v/>
      </c>
    </row>
    <row r="815" customFormat="false" ht="15" hidden="false" customHeight="false" outlineLevel="0" collapsed="false">
      <c r="T815" s="1" t="str">
        <f aca="false">IF($E815="","",COUNTIF($E$2:$E815,$E815))</f>
        <v/>
      </c>
      <c r="U815" s="1" t="str">
        <f aca="false">IF($E815="","",$E815&amp;"|"&amp;T815)</f>
        <v/>
      </c>
    </row>
    <row r="816" customFormat="false" ht="15" hidden="false" customHeight="false" outlineLevel="0" collapsed="false">
      <c r="T816" s="1" t="str">
        <f aca="false">IF($E816="","",COUNTIF($E$2:$E816,$E816))</f>
        <v/>
      </c>
      <c r="U816" s="1" t="str">
        <f aca="false">IF($E816="","",$E816&amp;"|"&amp;T816)</f>
        <v/>
      </c>
    </row>
    <row r="817" customFormat="false" ht="15" hidden="false" customHeight="false" outlineLevel="0" collapsed="false">
      <c r="T817" s="1" t="str">
        <f aca="false">IF($E817="","",COUNTIF($E$2:$E817,$E817))</f>
        <v/>
      </c>
      <c r="U817" s="1" t="str">
        <f aca="false">IF($E817="","",$E817&amp;"|"&amp;T817)</f>
        <v/>
      </c>
    </row>
    <row r="818" customFormat="false" ht="15" hidden="false" customHeight="false" outlineLevel="0" collapsed="false">
      <c r="T818" s="1" t="str">
        <f aca="false">IF($E818="","",COUNTIF($E$2:$E818,$E818))</f>
        <v/>
      </c>
      <c r="U818" s="1" t="str">
        <f aca="false">IF($E818="","",$E818&amp;"|"&amp;T818)</f>
        <v/>
      </c>
    </row>
    <row r="819" customFormat="false" ht="15" hidden="false" customHeight="false" outlineLevel="0" collapsed="false">
      <c r="T819" s="1" t="str">
        <f aca="false">IF($E819="","",COUNTIF($E$2:$E819,$E819))</f>
        <v/>
      </c>
      <c r="U819" s="1" t="str">
        <f aca="false">IF($E819="","",$E819&amp;"|"&amp;T819)</f>
        <v/>
      </c>
    </row>
    <row r="820" customFormat="false" ht="15" hidden="false" customHeight="false" outlineLevel="0" collapsed="false">
      <c r="T820" s="1" t="str">
        <f aca="false">IF($E820="","",COUNTIF($E$2:$E820,$E820))</f>
        <v/>
      </c>
      <c r="U820" s="1" t="str">
        <f aca="false">IF($E820="","",$E820&amp;"|"&amp;T820)</f>
        <v/>
      </c>
    </row>
    <row r="821" customFormat="false" ht="15" hidden="false" customHeight="false" outlineLevel="0" collapsed="false">
      <c r="T821" s="1" t="str">
        <f aca="false">IF($E821="","",COUNTIF($E$2:$E821,$E821))</f>
        <v/>
      </c>
      <c r="U821" s="1" t="str">
        <f aca="false">IF($E821="","",$E821&amp;"|"&amp;T821)</f>
        <v/>
      </c>
    </row>
    <row r="822" customFormat="false" ht="15" hidden="false" customHeight="false" outlineLevel="0" collapsed="false">
      <c r="T822" s="1" t="str">
        <f aca="false">IF($E822="","",COUNTIF($E$2:$E822,$E822))</f>
        <v/>
      </c>
      <c r="U822" s="1" t="str">
        <f aca="false">IF($E822="","",$E822&amp;"|"&amp;T822)</f>
        <v/>
      </c>
    </row>
    <row r="823" customFormat="false" ht="15" hidden="false" customHeight="false" outlineLevel="0" collapsed="false">
      <c r="T823" s="1" t="str">
        <f aca="false">IF($E823="","",COUNTIF($E$2:$E823,$E823))</f>
        <v/>
      </c>
      <c r="U823" s="1" t="str">
        <f aca="false">IF($E823="","",$E823&amp;"|"&amp;T823)</f>
        <v/>
      </c>
    </row>
    <row r="824" customFormat="false" ht="15" hidden="false" customHeight="false" outlineLevel="0" collapsed="false">
      <c r="T824" s="1" t="str">
        <f aca="false">IF($E824="","",COUNTIF($E$2:$E824,$E824))</f>
        <v/>
      </c>
      <c r="U824" s="1" t="str">
        <f aca="false">IF($E824="","",$E824&amp;"|"&amp;T824)</f>
        <v/>
      </c>
    </row>
    <row r="825" customFormat="false" ht="15" hidden="false" customHeight="false" outlineLevel="0" collapsed="false">
      <c r="T825" s="1" t="str">
        <f aca="false">IF($E825="","",COUNTIF($E$2:$E825,$E825))</f>
        <v/>
      </c>
      <c r="U825" s="1" t="str">
        <f aca="false">IF($E825="","",$E825&amp;"|"&amp;T825)</f>
        <v/>
      </c>
    </row>
    <row r="826" customFormat="false" ht="15" hidden="false" customHeight="false" outlineLevel="0" collapsed="false">
      <c r="T826" s="1" t="str">
        <f aca="false">IF($E826="","",COUNTIF($E$2:$E826,$E826))</f>
        <v/>
      </c>
      <c r="U826" s="1" t="str">
        <f aca="false">IF($E826="","",$E826&amp;"|"&amp;T826)</f>
        <v/>
      </c>
    </row>
    <row r="827" customFormat="false" ht="15" hidden="false" customHeight="false" outlineLevel="0" collapsed="false">
      <c r="T827" s="1" t="str">
        <f aca="false">IF($E827="","",COUNTIF($E$2:$E827,$E827))</f>
        <v/>
      </c>
      <c r="U827" s="1" t="str">
        <f aca="false">IF($E827="","",$E827&amp;"|"&amp;T827)</f>
        <v/>
      </c>
    </row>
    <row r="828" customFormat="false" ht="15" hidden="false" customHeight="false" outlineLevel="0" collapsed="false">
      <c r="T828" s="1" t="str">
        <f aca="false">IF($E828="","",COUNTIF($E$2:$E828,$E828))</f>
        <v/>
      </c>
      <c r="U828" s="1" t="str">
        <f aca="false">IF($E828="","",$E828&amp;"|"&amp;T828)</f>
        <v/>
      </c>
    </row>
    <row r="829" customFormat="false" ht="15" hidden="false" customHeight="false" outlineLevel="0" collapsed="false">
      <c r="T829" s="1" t="str">
        <f aca="false">IF($E829="","",COUNTIF($E$2:$E829,$E829))</f>
        <v/>
      </c>
      <c r="U829" s="1" t="str">
        <f aca="false">IF($E829="","",$E829&amp;"|"&amp;T829)</f>
        <v/>
      </c>
    </row>
    <row r="830" customFormat="false" ht="15" hidden="false" customHeight="false" outlineLevel="0" collapsed="false">
      <c r="T830" s="1" t="str">
        <f aca="false">IF($E830="","",COUNTIF($E$2:$E830,$E830))</f>
        <v/>
      </c>
      <c r="U830" s="1" t="str">
        <f aca="false">IF($E830="","",$E830&amp;"|"&amp;T830)</f>
        <v/>
      </c>
    </row>
    <row r="831" customFormat="false" ht="15" hidden="false" customHeight="false" outlineLevel="0" collapsed="false">
      <c r="T831" s="1" t="str">
        <f aca="false">IF($E831="","",COUNTIF($E$2:$E831,$E831))</f>
        <v/>
      </c>
      <c r="U831" s="1" t="str">
        <f aca="false">IF($E831="","",$E831&amp;"|"&amp;T831)</f>
        <v/>
      </c>
    </row>
    <row r="832" customFormat="false" ht="15" hidden="false" customHeight="false" outlineLevel="0" collapsed="false">
      <c r="T832" s="1" t="str">
        <f aca="false">IF($E832="","",COUNTIF($E$2:$E832,$E832))</f>
        <v/>
      </c>
      <c r="U832" s="1" t="str">
        <f aca="false">IF($E832="","",$E832&amp;"|"&amp;T832)</f>
        <v/>
      </c>
    </row>
    <row r="833" customFormat="false" ht="15" hidden="false" customHeight="false" outlineLevel="0" collapsed="false">
      <c r="T833" s="1" t="str">
        <f aca="false">IF($E833="","",COUNTIF($E$2:$E833,$E833))</f>
        <v/>
      </c>
      <c r="U833" s="1" t="str">
        <f aca="false">IF($E833="","",$E833&amp;"|"&amp;T833)</f>
        <v/>
      </c>
    </row>
    <row r="834" customFormat="false" ht="15" hidden="false" customHeight="false" outlineLevel="0" collapsed="false">
      <c r="T834" s="1" t="str">
        <f aca="false">IF($E834="","",COUNTIF($E$2:$E834,$E834))</f>
        <v/>
      </c>
      <c r="U834" s="1" t="str">
        <f aca="false">IF($E834="","",$E834&amp;"|"&amp;T834)</f>
        <v/>
      </c>
    </row>
    <row r="835" customFormat="false" ht="15" hidden="false" customHeight="false" outlineLevel="0" collapsed="false">
      <c r="T835" s="1" t="str">
        <f aca="false">IF($E835="","",COUNTIF($E$2:$E835,$E835))</f>
        <v/>
      </c>
      <c r="U835" s="1" t="str">
        <f aca="false">IF($E835="","",$E835&amp;"|"&amp;T835)</f>
        <v/>
      </c>
    </row>
    <row r="836" customFormat="false" ht="15" hidden="false" customHeight="false" outlineLevel="0" collapsed="false">
      <c r="T836" s="1" t="str">
        <f aca="false">IF($E836="","",COUNTIF($E$2:$E836,$E836))</f>
        <v/>
      </c>
      <c r="U836" s="1" t="str">
        <f aca="false">IF($E836="","",$E836&amp;"|"&amp;T836)</f>
        <v/>
      </c>
    </row>
    <row r="837" customFormat="false" ht="15" hidden="false" customHeight="false" outlineLevel="0" collapsed="false">
      <c r="T837" s="1" t="str">
        <f aca="false">IF($E837="","",COUNTIF($E$2:$E837,$E837))</f>
        <v/>
      </c>
      <c r="U837" s="1" t="str">
        <f aca="false">IF($E837="","",$E837&amp;"|"&amp;T837)</f>
        <v/>
      </c>
    </row>
    <row r="838" customFormat="false" ht="15" hidden="false" customHeight="false" outlineLevel="0" collapsed="false">
      <c r="T838" s="1" t="str">
        <f aca="false">IF($E838="","",COUNTIF($E$2:$E838,$E838))</f>
        <v/>
      </c>
      <c r="U838" s="1" t="str">
        <f aca="false">IF($E838="","",$E838&amp;"|"&amp;T838)</f>
        <v/>
      </c>
    </row>
    <row r="839" customFormat="false" ht="15" hidden="false" customHeight="false" outlineLevel="0" collapsed="false">
      <c r="T839" s="1" t="str">
        <f aca="false">IF($E839="","",COUNTIF($E$2:$E839,$E839))</f>
        <v/>
      </c>
      <c r="U839" s="1" t="str">
        <f aca="false">IF($E839="","",$E839&amp;"|"&amp;T839)</f>
        <v/>
      </c>
    </row>
    <row r="840" customFormat="false" ht="15" hidden="false" customHeight="false" outlineLevel="0" collapsed="false">
      <c r="T840" s="1" t="str">
        <f aca="false">IF($E840="","",COUNTIF($E$2:$E840,$E840))</f>
        <v/>
      </c>
      <c r="U840" s="1" t="str">
        <f aca="false">IF($E840="","",$E840&amp;"|"&amp;T840)</f>
        <v/>
      </c>
    </row>
    <row r="841" customFormat="false" ht="15" hidden="false" customHeight="false" outlineLevel="0" collapsed="false">
      <c r="T841" s="1" t="str">
        <f aca="false">IF($E841="","",COUNTIF($E$2:$E841,$E841))</f>
        <v/>
      </c>
      <c r="U841" s="1" t="str">
        <f aca="false">IF($E841="","",$E841&amp;"|"&amp;T841)</f>
        <v/>
      </c>
    </row>
    <row r="842" customFormat="false" ht="15" hidden="false" customHeight="false" outlineLevel="0" collapsed="false">
      <c r="T842" s="1" t="str">
        <f aca="false">IF($E842="","",COUNTIF($E$2:$E842,$E842))</f>
        <v/>
      </c>
      <c r="U842" s="1" t="str">
        <f aca="false">IF($E842="","",$E842&amp;"|"&amp;T842)</f>
        <v/>
      </c>
    </row>
    <row r="843" customFormat="false" ht="15" hidden="false" customHeight="false" outlineLevel="0" collapsed="false">
      <c r="T843" s="1" t="str">
        <f aca="false">IF($E843="","",COUNTIF($E$2:$E843,$E843))</f>
        <v/>
      </c>
      <c r="U843" s="1" t="str">
        <f aca="false">IF($E843="","",$E843&amp;"|"&amp;T843)</f>
        <v/>
      </c>
    </row>
    <row r="844" customFormat="false" ht="15" hidden="false" customHeight="false" outlineLevel="0" collapsed="false">
      <c r="T844" s="1" t="str">
        <f aca="false">IF($E844="","",COUNTIF($E$2:$E844,$E844))</f>
        <v/>
      </c>
      <c r="U844" s="1" t="str">
        <f aca="false">IF($E844="","",$E844&amp;"|"&amp;T844)</f>
        <v/>
      </c>
    </row>
    <row r="845" customFormat="false" ht="15" hidden="false" customHeight="false" outlineLevel="0" collapsed="false">
      <c r="T845" s="1" t="str">
        <f aca="false">IF($E845="","",COUNTIF($E$2:$E845,$E845))</f>
        <v/>
      </c>
      <c r="U845" s="1" t="str">
        <f aca="false">IF($E845="","",$E845&amp;"|"&amp;T845)</f>
        <v/>
      </c>
    </row>
    <row r="846" customFormat="false" ht="15" hidden="false" customHeight="false" outlineLevel="0" collapsed="false">
      <c r="T846" s="1" t="str">
        <f aca="false">IF($E846="","",COUNTIF($E$2:$E846,$E846))</f>
        <v/>
      </c>
      <c r="U846" s="1" t="str">
        <f aca="false">IF($E846="","",$E846&amp;"|"&amp;T846)</f>
        <v/>
      </c>
    </row>
    <row r="847" customFormat="false" ht="15" hidden="false" customHeight="false" outlineLevel="0" collapsed="false">
      <c r="T847" s="1" t="str">
        <f aca="false">IF($E847="","",COUNTIF($E$2:$E847,$E847))</f>
        <v/>
      </c>
      <c r="U847" s="1" t="str">
        <f aca="false">IF($E847="","",$E847&amp;"|"&amp;T847)</f>
        <v/>
      </c>
    </row>
    <row r="848" customFormat="false" ht="15" hidden="false" customHeight="false" outlineLevel="0" collapsed="false">
      <c r="T848" s="1" t="str">
        <f aca="false">IF($E848="","",COUNTIF($E$2:$E848,$E848))</f>
        <v/>
      </c>
      <c r="U848" s="1" t="str">
        <f aca="false">IF($E848="","",$E848&amp;"|"&amp;T848)</f>
        <v/>
      </c>
    </row>
    <row r="849" customFormat="false" ht="15" hidden="false" customHeight="false" outlineLevel="0" collapsed="false">
      <c r="T849" s="1" t="str">
        <f aca="false">IF($E849="","",COUNTIF($E$2:$E849,$E849))</f>
        <v/>
      </c>
      <c r="U849" s="1" t="str">
        <f aca="false">IF($E849="","",$E849&amp;"|"&amp;T849)</f>
        <v/>
      </c>
    </row>
    <row r="850" customFormat="false" ht="15" hidden="false" customHeight="false" outlineLevel="0" collapsed="false">
      <c r="T850" s="1" t="str">
        <f aca="false">IF($E850="","",COUNTIF($E$2:$E850,$E850))</f>
        <v/>
      </c>
      <c r="U850" s="1" t="str">
        <f aca="false">IF($E850="","",$E850&amp;"|"&amp;T850)</f>
        <v/>
      </c>
    </row>
    <row r="851" customFormat="false" ht="15" hidden="false" customHeight="false" outlineLevel="0" collapsed="false">
      <c r="T851" s="1" t="str">
        <f aca="false">IF($E851="","",COUNTIF($E$2:$E851,$E851))</f>
        <v/>
      </c>
      <c r="U851" s="1" t="str">
        <f aca="false">IF($E851="","",$E851&amp;"|"&amp;T851)</f>
        <v/>
      </c>
    </row>
    <row r="852" customFormat="false" ht="15" hidden="false" customHeight="false" outlineLevel="0" collapsed="false">
      <c r="T852" s="1" t="str">
        <f aca="false">IF($E852="","",COUNTIF($E$2:$E852,$E852))</f>
        <v/>
      </c>
      <c r="U852" s="1" t="str">
        <f aca="false">IF($E852="","",$E852&amp;"|"&amp;T852)</f>
        <v/>
      </c>
    </row>
    <row r="853" customFormat="false" ht="15" hidden="false" customHeight="false" outlineLevel="0" collapsed="false">
      <c r="T853" s="1" t="str">
        <f aca="false">IF($E853="","",COUNTIF($E$2:$E853,$E853))</f>
        <v/>
      </c>
      <c r="U853" s="1" t="str">
        <f aca="false">IF($E853="","",$E853&amp;"|"&amp;T853)</f>
        <v/>
      </c>
    </row>
    <row r="854" customFormat="false" ht="15" hidden="false" customHeight="false" outlineLevel="0" collapsed="false">
      <c r="T854" s="1" t="str">
        <f aca="false">IF($E854="","",COUNTIF($E$2:$E854,$E854))</f>
        <v/>
      </c>
      <c r="U854" s="1" t="str">
        <f aca="false">IF($E854="","",$E854&amp;"|"&amp;T854)</f>
        <v/>
      </c>
    </row>
    <row r="855" customFormat="false" ht="15" hidden="false" customHeight="false" outlineLevel="0" collapsed="false">
      <c r="T855" s="1" t="str">
        <f aca="false">IF($E855="","",COUNTIF($E$2:$E855,$E855))</f>
        <v/>
      </c>
      <c r="U855" s="1" t="str">
        <f aca="false">IF($E855="","",$E855&amp;"|"&amp;T855)</f>
        <v/>
      </c>
    </row>
    <row r="856" customFormat="false" ht="15" hidden="false" customHeight="false" outlineLevel="0" collapsed="false">
      <c r="T856" s="1" t="str">
        <f aca="false">IF($E856="","",COUNTIF($E$2:$E856,$E856))</f>
        <v/>
      </c>
      <c r="U856" s="1" t="str">
        <f aca="false">IF($E856="","",$E856&amp;"|"&amp;T856)</f>
        <v/>
      </c>
    </row>
    <row r="857" customFormat="false" ht="15" hidden="false" customHeight="false" outlineLevel="0" collapsed="false">
      <c r="T857" s="1" t="str">
        <f aca="false">IF($E857="","",COUNTIF($E$2:$E857,$E857))</f>
        <v/>
      </c>
      <c r="U857" s="1" t="str">
        <f aca="false">IF($E857="","",$E857&amp;"|"&amp;T857)</f>
        <v/>
      </c>
    </row>
    <row r="858" customFormat="false" ht="15" hidden="false" customHeight="false" outlineLevel="0" collapsed="false">
      <c r="T858" s="1" t="str">
        <f aca="false">IF($E858="","",COUNTIF($E$2:$E858,$E858))</f>
        <v/>
      </c>
      <c r="U858" s="1" t="str">
        <f aca="false">IF($E858="","",$E858&amp;"|"&amp;T858)</f>
        <v/>
      </c>
    </row>
    <row r="859" customFormat="false" ht="15" hidden="false" customHeight="false" outlineLevel="0" collapsed="false">
      <c r="T859" s="1" t="str">
        <f aca="false">IF($E859="","",COUNTIF($E$2:$E859,$E859))</f>
        <v/>
      </c>
      <c r="U859" s="1" t="str">
        <f aca="false">IF($E859="","",$E859&amp;"|"&amp;T859)</f>
        <v/>
      </c>
    </row>
    <row r="860" customFormat="false" ht="15" hidden="false" customHeight="false" outlineLevel="0" collapsed="false">
      <c r="T860" s="1" t="str">
        <f aca="false">IF($E860="","",COUNTIF($E$2:$E860,$E860))</f>
        <v/>
      </c>
      <c r="U860" s="1" t="str">
        <f aca="false">IF($E860="","",$E860&amp;"|"&amp;T860)</f>
        <v/>
      </c>
    </row>
    <row r="861" customFormat="false" ht="15" hidden="false" customHeight="false" outlineLevel="0" collapsed="false">
      <c r="T861" s="1" t="str">
        <f aca="false">IF($E861="","",COUNTIF($E$2:$E861,$E861))</f>
        <v/>
      </c>
      <c r="U861" s="1" t="str">
        <f aca="false">IF($E861="","",$E861&amp;"|"&amp;T861)</f>
        <v/>
      </c>
    </row>
    <row r="862" customFormat="false" ht="15" hidden="false" customHeight="false" outlineLevel="0" collapsed="false">
      <c r="T862" s="1" t="str">
        <f aca="false">IF($E862="","",COUNTIF($E$2:$E862,$E862))</f>
        <v/>
      </c>
      <c r="U862" s="1" t="str">
        <f aca="false">IF($E862="","",$E862&amp;"|"&amp;T862)</f>
        <v/>
      </c>
    </row>
    <row r="863" customFormat="false" ht="15" hidden="false" customHeight="false" outlineLevel="0" collapsed="false">
      <c r="T863" s="1" t="str">
        <f aca="false">IF($E863="","",COUNTIF($E$2:$E863,$E863))</f>
        <v/>
      </c>
      <c r="U863" s="1" t="str">
        <f aca="false">IF($E863="","",$E863&amp;"|"&amp;T863)</f>
        <v/>
      </c>
    </row>
    <row r="864" customFormat="false" ht="15" hidden="false" customHeight="false" outlineLevel="0" collapsed="false">
      <c r="T864" s="1" t="str">
        <f aca="false">IF($E864="","",COUNTIF($E$2:$E864,$E864))</f>
        <v/>
      </c>
      <c r="U864" s="1" t="str">
        <f aca="false">IF($E864="","",$E864&amp;"|"&amp;T864)</f>
        <v/>
      </c>
    </row>
    <row r="865" customFormat="false" ht="15" hidden="false" customHeight="false" outlineLevel="0" collapsed="false">
      <c r="T865" s="1" t="str">
        <f aca="false">IF($E865="","",COUNTIF($E$2:$E865,$E865))</f>
        <v/>
      </c>
      <c r="U865" s="1" t="str">
        <f aca="false">IF($E865="","",$E865&amp;"|"&amp;T865)</f>
        <v/>
      </c>
    </row>
    <row r="866" customFormat="false" ht="15" hidden="false" customHeight="false" outlineLevel="0" collapsed="false">
      <c r="T866" s="1" t="str">
        <f aca="false">IF($E866="","",COUNTIF($E$2:$E866,$E866))</f>
        <v/>
      </c>
      <c r="U866" s="1" t="str">
        <f aca="false">IF($E866="","",$E866&amp;"|"&amp;T866)</f>
        <v/>
      </c>
    </row>
    <row r="867" customFormat="false" ht="15" hidden="false" customHeight="false" outlineLevel="0" collapsed="false">
      <c r="T867" s="1" t="str">
        <f aca="false">IF($E867="","",COUNTIF($E$2:$E867,$E867))</f>
        <v/>
      </c>
      <c r="U867" s="1" t="str">
        <f aca="false">IF($E867="","",$E867&amp;"|"&amp;T867)</f>
        <v/>
      </c>
    </row>
    <row r="868" customFormat="false" ht="15" hidden="false" customHeight="false" outlineLevel="0" collapsed="false">
      <c r="T868" s="1" t="str">
        <f aca="false">IF($E868="","",COUNTIF($E$2:$E868,$E868))</f>
        <v/>
      </c>
      <c r="U868" s="1" t="str">
        <f aca="false">IF($E868="","",$E868&amp;"|"&amp;T868)</f>
        <v/>
      </c>
    </row>
    <row r="869" customFormat="false" ht="15" hidden="false" customHeight="false" outlineLevel="0" collapsed="false">
      <c r="T869" s="1" t="str">
        <f aca="false">IF($E869="","",COUNTIF($E$2:$E869,$E869))</f>
        <v/>
      </c>
      <c r="U869" s="1" t="str">
        <f aca="false">IF($E869="","",$E869&amp;"|"&amp;T869)</f>
        <v/>
      </c>
    </row>
    <row r="870" customFormat="false" ht="15" hidden="false" customHeight="false" outlineLevel="0" collapsed="false">
      <c r="T870" s="1" t="str">
        <f aca="false">IF($E870="","",COUNTIF($E$2:$E870,$E870))</f>
        <v/>
      </c>
      <c r="U870" s="1" t="str">
        <f aca="false">IF($E870="","",$E870&amp;"|"&amp;T870)</f>
        <v/>
      </c>
    </row>
    <row r="871" customFormat="false" ht="15" hidden="false" customHeight="false" outlineLevel="0" collapsed="false">
      <c r="T871" s="1" t="str">
        <f aca="false">IF($E871="","",COUNTIF($E$2:$E871,$E871))</f>
        <v/>
      </c>
      <c r="U871" s="1" t="str">
        <f aca="false">IF($E871="","",$E871&amp;"|"&amp;T871)</f>
        <v/>
      </c>
    </row>
    <row r="872" customFormat="false" ht="15" hidden="false" customHeight="false" outlineLevel="0" collapsed="false">
      <c r="T872" s="1" t="str">
        <f aca="false">IF($E872="","",COUNTIF($E$2:$E872,$E872))</f>
        <v/>
      </c>
      <c r="U872" s="1" t="str">
        <f aca="false">IF($E872="","",$E872&amp;"|"&amp;T872)</f>
        <v/>
      </c>
    </row>
    <row r="873" customFormat="false" ht="15" hidden="false" customHeight="false" outlineLevel="0" collapsed="false">
      <c r="T873" s="1" t="str">
        <f aca="false">IF($E873="","",COUNTIF($E$2:$E873,$E873))</f>
        <v/>
      </c>
      <c r="U873" s="1" t="str">
        <f aca="false">IF($E873="","",$E873&amp;"|"&amp;T873)</f>
        <v/>
      </c>
    </row>
    <row r="874" customFormat="false" ht="15" hidden="false" customHeight="false" outlineLevel="0" collapsed="false">
      <c r="T874" s="1" t="str">
        <f aca="false">IF($E874="","",COUNTIF($E$2:$E874,$E874))</f>
        <v/>
      </c>
      <c r="U874" s="1" t="str">
        <f aca="false">IF($E874="","",$E874&amp;"|"&amp;T874)</f>
        <v/>
      </c>
    </row>
    <row r="875" customFormat="false" ht="15" hidden="false" customHeight="false" outlineLevel="0" collapsed="false">
      <c r="T875" s="1" t="str">
        <f aca="false">IF($E875="","",COUNTIF($E$2:$E875,$E875))</f>
        <v/>
      </c>
      <c r="U875" s="1" t="str">
        <f aca="false">IF($E875="","",$E875&amp;"|"&amp;T875)</f>
        <v/>
      </c>
    </row>
    <row r="876" customFormat="false" ht="15" hidden="false" customHeight="false" outlineLevel="0" collapsed="false">
      <c r="T876" s="1" t="str">
        <f aca="false">IF($E876="","",COUNTIF($E$2:$E876,$E876))</f>
        <v/>
      </c>
      <c r="U876" s="1" t="str">
        <f aca="false">IF($E876="","",$E876&amp;"|"&amp;T876)</f>
        <v/>
      </c>
    </row>
    <row r="877" customFormat="false" ht="15" hidden="false" customHeight="false" outlineLevel="0" collapsed="false">
      <c r="T877" s="1" t="str">
        <f aca="false">IF($E877="","",COUNTIF($E$2:$E877,$E877))</f>
        <v/>
      </c>
      <c r="U877" s="1" t="str">
        <f aca="false">IF($E877="","",$E877&amp;"|"&amp;T877)</f>
        <v/>
      </c>
    </row>
    <row r="878" customFormat="false" ht="15" hidden="false" customHeight="false" outlineLevel="0" collapsed="false">
      <c r="T878" s="1" t="str">
        <f aca="false">IF($E878="","",COUNTIF($E$2:$E878,$E878))</f>
        <v/>
      </c>
      <c r="U878" s="1" t="str">
        <f aca="false">IF($E878="","",$E878&amp;"|"&amp;T878)</f>
        <v/>
      </c>
    </row>
    <row r="879" customFormat="false" ht="15" hidden="false" customHeight="false" outlineLevel="0" collapsed="false">
      <c r="T879" s="1" t="str">
        <f aca="false">IF($E879="","",COUNTIF($E$2:$E879,$E879))</f>
        <v/>
      </c>
      <c r="U879" s="1" t="str">
        <f aca="false">IF($E879="","",$E879&amp;"|"&amp;T879)</f>
        <v/>
      </c>
    </row>
    <row r="880" customFormat="false" ht="15" hidden="false" customHeight="false" outlineLevel="0" collapsed="false">
      <c r="T880" s="1" t="str">
        <f aca="false">IF($E880="","",COUNTIF($E$2:$E880,$E880))</f>
        <v/>
      </c>
      <c r="U880" s="1" t="str">
        <f aca="false">IF($E880="","",$E880&amp;"|"&amp;T880)</f>
        <v/>
      </c>
    </row>
    <row r="881" customFormat="false" ht="15" hidden="false" customHeight="false" outlineLevel="0" collapsed="false">
      <c r="T881" s="1" t="str">
        <f aca="false">IF($E881="","",COUNTIF($E$2:$E881,$E881))</f>
        <v/>
      </c>
      <c r="U881" s="1" t="str">
        <f aca="false">IF($E881="","",$E881&amp;"|"&amp;T881)</f>
        <v/>
      </c>
    </row>
    <row r="882" customFormat="false" ht="15" hidden="false" customHeight="false" outlineLevel="0" collapsed="false">
      <c r="T882" s="1" t="str">
        <f aca="false">IF($E882="","",COUNTIF($E$2:$E882,$E882))</f>
        <v/>
      </c>
      <c r="U882" s="1" t="str">
        <f aca="false">IF($E882="","",$E882&amp;"|"&amp;T882)</f>
        <v/>
      </c>
    </row>
    <row r="883" customFormat="false" ht="15" hidden="false" customHeight="false" outlineLevel="0" collapsed="false">
      <c r="T883" s="1" t="str">
        <f aca="false">IF($E883="","",COUNTIF($E$2:$E883,$E883))</f>
        <v/>
      </c>
      <c r="U883" s="1" t="str">
        <f aca="false">IF($E883="","",$E883&amp;"|"&amp;T883)</f>
        <v/>
      </c>
    </row>
    <row r="884" customFormat="false" ht="15" hidden="false" customHeight="false" outlineLevel="0" collapsed="false">
      <c r="T884" s="1" t="str">
        <f aca="false">IF($E884="","",COUNTIF($E$2:$E884,$E884))</f>
        <v/>
      </c>
      <c r="U884" s="1" t="str">
        <f aca="false">IF($E884="","",$E884&amp;"|"&amp;T884)</f>
        <v/>
      </c>
    </row>
    <row r="885" customFormat="false" ht="15" hidden="false" customHeight="false" outlineLevel="0" collapsed="false">
      <c r="T885" s="1" t="str">
        <f aca="false">IF($E885="","",COUNTIF($E$2:$E885,$E885))</f>
        <v/>
      </c>
      <c r="U885" s="1" t="str">
        <f aca="false">IF($E885="","",$E885&amp;"|"&amp;T885)</f>
        <v/>
      </c>
    </row>
    <row r="886" customFormat="false" ht="15" hidden="false" customHeight="false" outlineLevel="0" collapsed="false">
      <c r="T886" s="1" t="str">
        <f aca="false">IF($E886="","",COUNTIF($E$2:$E886,$E886))</f>
        <v/>
      </c>
      <c r="U886" s="1" t="str">
        <f aca="false">IF($E886="","",$E886&amp;"|"&amp;T886)</f>
        <v/>
      </c>
    </row>
    <row r="887" customFormat="false" ht="15" hidden="false" customHeight="false" outlineLevel="0" collapsed="false">
      <c r="T887" s="1" t="str">
        <f aca="false">IF($E887="","",COUNTIF($E$2:$E887,$E887))</f>
        <v/>
      </c>
      <c r="U887" s="1" t="str">
        <f aca="false">IF($E887="","",$E887&amp;"|"&amp;T887)</f>
        <v/>
      </c>
    </row>
    <row r="888" customFormat="false" ht="15" hidden="false" customHeight="false" outlineLevel="0" collapsed="false">
      <c r="T888" s="1" t="str">
        <f aca="false">IF($E888="","",COUNTIF($E$2:$E888,$E888))</f>
        <v/>
      </c>
      <c r="U888" s="1" t="str">
        <f aca="false">IF($E888="","",$E888&amp;"|"&amp;T888)</f>
        <v/>
      </c>
    </row>
    <row r="889" customFormat="false" ht="15" hidden="false" customHeight="false" outlineLevel="0" collapsed="false">
      <c r="T889" s="1" t="str">
        <f aca="false">IF($E889="","",COUNTIF($E$2:$E889,$E889))</f>
        <v/>
      </c>
      <c r="U889" s="1" t="str">
        <f aca="false">IF($E889="","",$E889&amp;"|"&amp;T889)</f>
        <v/>
      </c>
    </row>
    <row r="890" customFormat="false" ht="15" hidden="false" customHeight="false" outlineLevel="0" collapsed="false">
      <c r="T890" s="1" t="str">
        <f aca="false">IF($E890="","",COUNTIF($E$2:$E890,$E890))</f>
        <v/>
      </c>
      <c r="U890" s="1" t="str">
        <f aca="false">IF($E890="","",$E890&amp;"|"&amp;T890)</f>
        <v/>
      </c>
    </row>
    <row r="891" customFormat="false" ht="15" hidden="false" customHeight="false" outlineLevel="0" collapsed="false">
      <c r="T891" s="1" t="str">
        <f aca="false">IF($E891="","",COUNTIF($E$2:$E891,$E891))</f>
        <v/>
      </c>
      <c r="U891" s="1" t="str">
        <f aca="false">IF($E891="","",$E891&amp;"|"&amp;T891)</f>
        <v/>
      </c>
    </row>
    <row r="892" customFormat="false" ht="15" hidden="false" customHeight="false" outlineLevel="0" collapsed="false">
      <c r="T892" s="1" t="str">
        <f aca="false">IF($E892="","",COUNTIF($E$2:$E892,$E892))</f>
        <v/>
      </c>
      <c r="U892" s="1" t="str">
        <f aca="false">IF($E892="","",$E892&amp;"|"&amp;T892)</f>
        <v/>
      </c>
    </row>
    <row r="893" customFormat="false" ht="15" hidden="false" customHeight="false" outlineLevel="0" collapsed="false">
      <c r="T893" s="1" t="str">
        <f aca="false">IF($E893="","",COUNTIF($E$2:$E893,$E893))</f>
        <v/>
      </c>
      <c r="U893" s="1" t="str">
        <f aca="false">IF($E893="","",$E893&amp;"|"&amp;T893)</f>
        <v/>
      </c>
    </row>
    <row r="894" customFormat="false" ht="15" hidden="false" customHeight="false" outlineLevel="0" collapsed="false">
      <c r="T894" s="1" t="str">
        <f aca="false">IF($E894="","",COUNTIF($E$2:$E894,$E894))</f>
        <v/>
      </c>
      <c r="U894" s="1" t="str">
        <f aca="false">IF($E894="","",$E894&amp;"|"&amp;T894)</f>
        <v/>
      </c>
    </row>
    <row r="895" customFormat="false" ht="15" hidden="false" customHeight="false" outlineLevel="0" collapsed="false">
      <c r="T895" s="1" t="str">
        <f aca="false">IF($E895="","",COUNTIF($E$2:$E895,$E895))</f>
        <v/>
      </c>
      <c r="U895" s="1" t="str">
        <f aca="false">IF($E895="","",$E895&amp;"|"&amp;T895)</f>
        <v/>
      </c>
    </row>
    <row r="896" customFormat="false" ht="15" hidden="false" customHeight="false" outlineLevel="0" collapsed="false">
      <c r="T896" s="1" t="str">
        <f aca="false">IF($E896="","",COUNTIF($E$2:$E896,$E896))</f>
        <v/>
      </c>
      <c r="U896" s="1" t="str">
        <f aca="false">IF($E896="","",$E896&amp;"|"&amp;T896)</f>
        <v/>
      </c>
    </row>
    <row r="897" customFormat="false" ht="15" hidden="false" customHeight="false" outlineLevel="0" collapsed="false">
      <c r="T897" s="1" t="str">
        <f aca="false">IF($E897="","",COUNTIF($E$2:$E897,$E897))</f>
        <v/>
      </c>
      <c r="U897" s="1" t="str">
        <f aca="false">IF($E897="","",$E897&amp;"|"&amp;T897)</f>
        <v/>
      </c>
    </row>
    <row r="898" customFormat="false" ht="15" hidden="false" customHeight="false" outlineLevel="0" collapsed="false">
      <c r="T898" s="1" t="str">
        <f aca="false">IF($E898="","",COUNTIF($E$2:$E898,$E898))</f>
        <v/>
      </c>
      <c r="U898" s="1" t="str">
        <f aca="false">IF($E898="","",$E898&amp;"|"&amp;T898)</f>
        <v/>
      </c>
    </row>
    <row r="899" customFormat="false" ht="15" hidden="false" customHeight="false" outlineLevel="0" collapsed="false">
      <c r="T899" s="1" t="str">
        <f aca="false">IF($E899="","",COUNTIF($E$2:$E899,$E899))</f>
        <v/>
      </c>
      <c r="U899" s="1" t="str">
        <f aca="false">IF($E899="","",$E899&amp;"|"&amp;T899)</f>
        <v/>
      </c>
    </row>
    <row r="900" customFormat="false" ht="15" hidden="false" customHeight="false" outlineLevel="0" collapsed="false">
      <c r="T900" s="1" t="str">
        <f aca="false">IF($E900="","",COUNTIF($E$2:$E900,$E900))</f>
        <v/>
      </c>
      <c r="U900" s="1" t="str">
        <f aca="false">IF($E900="","",$E900&amp;"|"&amp;T900)</f>
        <v/>
      </c>
    </row>
    <row r="901" customFormat="false" ht="15" hidden="false" customHeight="false" outlineLevel="0" collapsed="false">
      <c r="T901" s="1" t="str">
        <f aca="false">IF($E901="","",COUNTIF($E$2:$E901,$E901))</f>
        <v/>
      </c>
      <c r="U901" s="1" t="str">
        <f aca="false">IF($E901="","",$E901&amp;"|"&amp;T901)</f>
        <v/>
      </c>
    </row>
    <row r="902" customFormat="false" ht="15" hidden="false" customHeight="false" outlineLevel="0" collapsed="false">
      <c r="T902" s="1" t="str">
        <f aca="false">IF($E902="","",COUNTIF($E$2:$E902,$E902))</f>
        <v/>
      </c>
      <c r="U902" s="1" t="str">
        <f aca="false">IF($E902="","",$E902&amp;"|"&amp;T902)</f>
        <v/>
      </c>
    </row>
    <row r="903" customFormat="false" ht="15" hidden="false" customHeight="false" outlineLevel="0" collapsed="false">
      <c r="T903" s="1" t="str">
        <f aca="false">IF($E903="","",COUNTIF($E$2:$E903,$E903))</f>
        <v/>
      </c>
      <c r="U903" s="1" t="str">
        <f aca="false">IF($E903="","",$E903&amp;"|"&amp;T903)</f>
        <v/>
      </c>
    </row>
    <row r="904" customFormat="false" ht="15" hidden="false" customHeight="false" outlineLevel="0" collapsed="false">
      <c r="T904" s="1" t="str">
        <f aca="false">IF($E904="","",COUNTIF($E$2:$E904,$E904))</f>
        <v/>
      </c>
      <c r="U904" s="1" t="str">
        <f aca="false">IF($E904="","",$E904&amp;"|"&amp;T904)</f>
        <v/>
      </c>
    </row>
    <row r="905" customFormat="false" ht="15" hidden="false" customHeight="false" outlineLevel="0" collapsed="false">
      <c r="T905" s="1" t="str">
        <f aca="false">IF($E905="","",COUNTIF($E$2:$E905,$E905))</f>
        <v/>
      </c>
      <c r="U905" s="1" t="str">
        <f aca="false">IF($E905="","",$E905&amp;"|"&amp;T905)</f>
        <v/>
      </c>
    </row>
    <row r="906" customFormat="false" ht="15" hidden="false" customHeight="false" outlineLevel="0" collapsed="false">
      <c r="T906" s="1" t="str">
        <f aca="false">IF($E906="","",COUNTIF($E$2:$E906,$E906))</f>
        <v/>
      </c>
      <c r="U906" s="1" t="str">
        <f aca="false">IF($E906="","",$E906&amp;"|"&amp;T906)</f>
        <v/>
      </c>
    </row>
    <row r="907" customFormat="false" ht="15" hidden="false" customHeight="false" outlineLevel="0" collapsed="false">
      <c r="T907" s="1" t="str">
        <f aca="false">IF($E907="","",COUNTIF($E$2:$E907,$E907))</f>
        <v/>
      </c>
      <c r="U907" s="1" t="str">
        <f aca="false">IF($E907="","",$E907&amp;"|"&amp;T907)</f>
        <v/>
      </c>
    </row>
    <row r="908" customFormat="false" ht="15" hidden="false" customHeight="false" outlineLevel="0" collapsed="false">
      <c r="T908" s="1" t="str">
        <f aca="false">IF($E908="","",COUNTIF($E$2:$E908,$E908))</f>
        <v/>
      </c>
      <c r="U908" s="1" t="str">
        <f aca="false">IF($E908="","",$E908&amp;"|"&amp;T908)</f>
        <v/>
      </c>
    </row>
    <row r="909" customFormat="false" ht="15" hidden="false" customHeight="false" outlineLevel="0" collapsed="false">
      <c r="T909" s="1" t="str">
        <f aca="false">IF($E909="","",COUNTIF($E$2:$E909,$E909))</f>
        <v/>
      </c>
      <c r="U909" s="1" t="str">
        <f aca="false">IF($E909="","",$E909&amp;"|"&amp;T909)</f>
        <v/>
      </c>
    </row>
    <row r="910" customFormat="false" ht="15" hidden="false" customHeight="false" outlineLevel="0" collapsed="false">
      <c r="T910" s="1" t="str">
        <f aca="false">IF($E910="","",COUNTIF($E$2:$E910,$E910))</f>
        <v/>
      </c>
      <c r="U910" s="1" t="str">
        <f aca="false">IF($E910="","",$E910&amp;"|"&amp;T910)</f>
        <v/>
      </c>
    </row>
    <row r="911" customFormat="false" ht="15" hidden="false" customHeight="false" outlineLevel="0" collapsed="false">
      <c r="T911" s="1" t="str">
        <f aca="false">IF($E911="","",COUNTIF($E$2:$E911,$E911))</f>
        <v/>
      </c>
      <c r="U911" s="1" t="str">
        <f aca="false">IF($E911="","",$E911&amp;"|"&amp;T911)</f>
        <v/>
      </c>
    </row>
    <row r="912" customFormat="false" ht="15" hidden="false" customHeight="false" outlineLevel="0" collapsed="false">
      <c r="T912" s="1" t="str">
        <f aca="false">IF($E912="","",COUNTIF($E$2:$E912,$E912))</f>
        <v/>
      </c>
      <c r="U912" s="1" t="str">
        <f aca="false">IF($E912="","",$E912&amp;"|"&amp;T912)</f>
        <v/>
      </c>
    </row>
    <row r="913" customFormat="false" ht="15" hidden="false" customHeight="false" outlineLevel="0" collapsed="false">
      <c r="T913" s="1" t="str">
        <f aca="false">IF($E913="","",COUNTIF($E$2:$E913,$E913))</f>
        <v/>
      </c>
      <c r="U913" s="1" t="str">
        <f aca="false">IF($E913="","",$E913&amp;"|"&amp;T913)</f>
        <v/>
      </c>
    </row>
    <row r="914" customFormat="false" ht="15" hidden="false" customHeight="false" outlineLevel="0" collapsed="false">
      <c r="T914" s="1" t="str">
        <f aca="false">IF($E914="","",COUNTIF($E$2:$E914,$E914))</f>
        <v/>
      </c>
      <c r="U914" s="1" t="str">
        <f aca="false">IF($E914="","",$E914&amp;"|"&amp;T914)</f>
        <v/>
      </c>
    </row>
    <row r="915" customFormat="false" ht="15" hidden="false" customHeight="false" outlineLevel="0" collapsed="false">
      <c r="T915" s="1" t="str">
        <f aca="false">IF($E915="","",COUNTIF($E$2:$E915,$E915))</f>
        <v/>
      </c>
      <c r="U915" s="1" t="str">
        <f aca="false">IF($E915="","",$E915&amp;"|"&amp;T915)</f>
        <v/>
      </c>
    </row>
    <row r="916" customFormat="false" ht="15" hidden="false" customHeight="false" outlineLevel="0" collapsed="false">
      <c r="T916" s="1" t="str">
        <f aca="false">IF($E916="","",COUNTIF($E$2:$E916,$E916))</f>
        <v/>
      </c>
      <c r="U916" s="1" t="str">
        <f aca="false">IF($E916="","",$E916&amp;"|"&amp;T916)</f>
        <v/>
      </c>
    </row>
    <row r="917" customFormat="false" ht="15" hidden="false" customHeight="false" outlineLevel="0" collapsed="false">
      <c r="T917" s="1" t="str">
        <f aca="false">IF($E917="","",COUNTIF($E$2:$E917,$E917))</f>
        <v/>
      </c>
      <c r="U917" s="1" t="str">
        <f aca="false">IF($E917="","",$E917&amp;"|"&amp;T917)</f>
        <v/>
      </c>
    </row>
    <row r="918" customFormat="false" ht="15" hidden="false" customHeight="false" outlineLevel="0" collapsed="false">
      <c r="T918" s="1" t="str">
        <f aca="false">IF($E918="","",COUNTIF($E$2:$E918,$E918))</f>
        <v/>
      </c>
      <c r="U918" s="1" t="str">
        <f aca="false">IF($E918="","",$E918&amp;"|"&amp;T918)</f>
        <v/>
      </c>
    </row>
    <row r="919" customFormat="false" ht="15" hidden="false" customHeight="false" outlineLevel="0" collapsed="false">
      <c r="T919" s="1" t="str">
        <f aca="false">IF($E919="","",COUNTIF($E$2:$E919,$E919))</f>
        <v/>
      </c>
      <c r="U919" s="1" t="str">
        <f aca="false">IF($E919="","",$E919&amp;"|"&amp;T919)</f>
        <v/>
      </c>
    </row>
    <row r="920" customFormat="false" ht="15" hidden="false" customHeight="false" outlineLevel="0" collapsed="false">
      <c r="T920" s="1" t="str">
        <f aca="false">IF($E920="","",COUNTIF($E$2:$E920,$E920))</f>
        <v/>
      </c>
      <c r="U920" s="1" t="str">
        <f aca="false">IF($E920="","",$E920&amp;"|"&amp;T920)</f>
        <v/>
      </c>
    </row>
    <row r="921" customFormat="false" ht="15" hidden="false" customHeight="false" outlineLevel="0" collapsed="false">
      <c r="T921" s="1" t="str">
        <f aca="false">IF($E921="","",COUNTIF($E$2:$E921,$E921))</f>
        <v/>
      </c>
      <c r="U921" s="1" t="str">
        <f aca="false">IF($E921="","",$E921&amp;"|"&amp;T921)</f>
        <v/>
      </c>
    </row>
    <row r="922" customFormat="false" ht="15" hidden="false" customHeight="false" outlineLevel="0" collapsed="false">
      <c r="T922" s="1" t="str">
        <f aca="false">IF($E922="","",COUNTIF($E$2:$E922,$E922))</f>
        <v/>
      </c>
      <c r="U922" s="1" t="str">
        <f aca="false">IF($E922="","",$E922&amp;"|"&amp;T922)</f>
        <v/>
      </c>
    </row>
    <row r="923" customFormat="false" ht="15" hidden="false" customHeight="false" outlineLevel="0" collapsed="false">
      <c r="T923" s="1" t="str">
        <f aca="false">IF($E923="","",COUNTIF($E$2:$E923,$E923))</f>
        <v/>
      </c>
      <c r="U923" s="1" t="str">
        <f aca="false">IF($E923="","",$E923&amp;"|"&amp;T923)</f>
        <v/>
      </c>
    </row>
    <row r="924" customFormat="false" ht="15" hidden="false" customHeight="false" outlineLevel="0" collapsed="false">
      <c r="T924" s="1" t="str">
        <f aca="false">IF($E924="","",COUNTIF($E$2:$E924,$E924))</f>
        <v/>
      </c>
      <c r="U924" s="1" t="str">
        <f aca="false">IF($E924="","",$E924&amp;"|"&amp;T924)</f>
        <v/>
      </c>
    </row>
    <row r="925" customFormat="false" ht="15" hidden="false" customHeight="false" outlineLevel="0" collapsed="false">
      <c r="T925" s="1" t="str">
        <f aca="false">IF($E925="","",COUNTIF($E$2:$E925,$E925))</f>
        <v/>
      </c>
      <c r="U925" s="1" t="str">
        <f aca="false">IF($E925="","",$E925&amp;"|"&amp;T925)</f>
        <v/>
      </c>
    </row>
    <row r="926" customFormat="false" ht="15" hidden="false" customHeight="false" outlineLevel="0" collapsed="false">
      <c r="T926" s="1" t="str">
        <f aca="false">IF($E926="","",COUNTIF($E$2:$E926,$E926))</f>
        <v/>
      </c>
      <c r="U926" s="1" t="str">
        <f aca="false">IF($E926="","",$E926&amp;"|"&amp;T926)</f>
        <v/>
      </c>
    </row>
    <row r="927" customFormat="false" ht="15" hidden="false" customHeight="false" outlineLevel="0" collapsed="false">
      <c r="T927" s="1" t="str">
        <f aca="false">IF($E927="","",COUNTIF($E$2:$E927,$E927))</f>
        <v/>
      </c>
      <c r="U927" s="1" t="str">
        <f aca="false">IF($E927="","",$E927&amp;"|"&amp;T927)</f>
        <v/>
      </c>
    </row>
    <row r="928" customFormat="false" ht="15" hidden="false" customHeight="false" outlineLevel="0" collapsed="false">
      <c r="T928" s="1" t="str">
        <f aca="false">IF($E928="","",COUNTIF($E$2:$E928,$E928))</f>
        <v/>
      </c>
      <c r="U928" s="1" t="str">
        <f aca="false">IF($E928="","",$E928&amp;"|"&amp;T928)</f>
        <v/>
      </c>
    </row>
    <row r="929" customFormat="false" ht="15" hidden="false" customHeight="false" outlineLevel="0" collapsed="false">
      <c r="T929" s="1" t="str">
        <f aca="false">IF($E929="","",COUNTIF($E$2:$E929,$E929))</f>
        <v/>
      </c>
      <c r="U929" s="1" t="str">
        <f aca="false">IF($E929="","",$E929&amp;"|"&amp;T929)</f>
        <v/>
      </c>
    </row>
    <row r="930" customFormat="false" ht="15" hidden="false" customHeight="false" outlineLevel="0" collapsed="false">
      <c r="T930" s="1" t="str">
        <f aca="false">IF($E930="","",COUNTIF($E$2:$E930,$E930))</f>
        <v/>
      </c>
      <c r="U930" s="1" t="str">
        <f aca="false">IF($E930="","",$E930&amp;"|"&amp;T930)</f>
        <v/>
      </c>
    </row>
    <row r="931" customFormat="false" ht="15" hidden="false" customHeight="false" outlineLevel="0" collapsed="false">
      <c r="T931" s="1" t="str">
        <f aca="false">IF($E931="","",COUNTIF($E$2:$E931,$E931))</f>
        <v/>
      </c>
      <c r="U931" s="1" t="str">
        <f aca="false">IF($E931="","",$E931&amp;"|"&amp;T931)</f>
        <v/>
      </c>
    </row>
    <row r="932" customFormat="false" ht="15" hidden="false" customHeight="false" outlineLevel="0" collapsed="false">
      <c r="T932" s="1" t="str">
        <f aca="false">IF($E932="","",COUNTIF($E$2:$E932,$E932))</f>
        <v/>
      </c>
      <c r="U932" s="1" t="str">
        <f aca="false">IF($E932="","",$E932&amp;"|"&amp;T932)</f>
        <v/>
      </c>
    </row>
    <row r="933" customFormat="false" ht="15" hidden="false" customHeight="false" outlineLevel="0" collapsed="false">
      <c r="T933" s="1" t="str">
        <f aca="false">IF($E933="","",COUNTIF($E$2:$E933,$E933))</f>
        <v/>
      </c>
      <c r="U933" s="1" t="str">
        <f aca="false">IF($E933="","",$E933&amp;"|"&amp;T933)</f>
        <v/>
      </c>
    </row>
    <row r="934" customFormat="false" ht="15" hidden="false" customHeight="false" outlineLevel="0" collapsed="false">
      <c r="T934" s="1" t="str">
        <f aca="false">IF($E934="","",COUNTIF($E$2:$E934,$E934))</f>
        <v/>
      </c>
      <c r="U934" s="1" t="str">
        <f aca="false">IF($E934="","",$E934&amp;"|"&amp;T934)</f>
        <v/>
      </c>
    </row>
    <row r="935" customFormat="false" ht="15" hidden="false" customHeight="false" outlineLevel="0" collapsed="false">
      <c r="T935" s="1" t="str">
        <f aca="false">IF($E935="","",COUNTIF($E$2:$E935,$E935))</f>
        <v/>
      </c>
      <c r="U935" s="1" t="str">
        <f aca="false">IF($E935="","",$E935&amp;"|"&amp;T935)</f>
        <v/>
      </c>
    </row>
    <row r="936" customFormat="false" ht="15" hidden="false" customHeight="false" outlineLevel="0" collapsed="false">
      <c r="T936" s="1" t="str">
        <f aca="false">IF($E936="","",COUNTIF($E$2:$E936,$E936))</f>
        <v/>
      </c>
      <c r="U936" s="1" t="str">
        <f aca="false">IF($E936="","",$E936&amp;"|"&amp;T936)</f>
        <v/>
      </c>
    </row>
    <row r="937" customFormat="false" ht="15" hidden="false" customHeight="false" outlineLevel="0" collapsed="false">
      <c r="T937" s="1" t="str">
        <f aca="false">IF($E937="","",COUNTIF($E$2:$E937,$E937))</f>
        <v/>
      </c>
      <c r="U937" s="1" t="str">
        <f aca="false">IF($E937="","",$E937&amp;"|"&amp;T937)</f>
        <v/>
      </c>
    </row>
    <row r="938" customFormat="false" ht="15" hidden="false" customHeight="false" outlineLevel="0" collapsed="false">
      <c r="T938" s="1" t="str">
        <f aca="false">IF($E938="","",COUNTIF($E$2:$E938,$E938))</f>
        <v/>
      </c>
      <c r="U938" s="1" t="str">
        <f aca="false">IF($E938="","",$E938&amp;"|"&amp;T938)</f>
        <v/>
      </c>
    </row>
    <row r="939" customFormat="false" ht="15" hidden="false" customHeight="false" outlineLevel="0" collapsed="false">
      <c r="T939" s="1" t="str">
        <f aca="false">IF($E939="","",COUNTIF($E$2:$E939,$E939))</f>
        <v/>
      </c>
      <c r="U939" s="1" t="str">
        <f aca="false">IF($E939="","",$E939&amp;"|"&amp;T939)</f>
        <v/>
      </c>
    </row>
    <row r="940" customFormat="false" ht="15" hidden="false" customHeight="false" outlineLevel="0" collapsed="false">
      <c r="T940" s="1" t="str">
        <f aca="false">IF($E940="","",COUNTIF($E$2:$E940,$E940))</f>
        <v/>
      </c>
      <c r="U940" s="1" t="str">
        <f aca="false">IF($E940="","",$E940&amp;"|"&amp;T940)</f>
        <v/>
      </c>
    </row>
    <row r="941" customFormat="false" ht="15" hidden="false" customHeight="false" outlineLevel="0" collapsed="false">
      <c r="T941" s="1" t="str">
        <f aca="false">IF($E941="","",COUNTIF($E$2:$E941,$E941))</f>
        <v/>
      </c>
      <c r="U941" s="1" t="str">
        <f aca="false">IF($E941="","",$E941&amp;"|"&amp;T941)</f>
        <v/>
      </c>
    </row>
    <row r="942" customFormat="false" ht="15" hidden="false" customHeight="false" outlineLevel="0" collapsed="false">
      <c r="T942" s="1" t="str">
        <f aca="false">IF($E942="","",COUNTIF($E$2:$E942,$E942))</f>
        <v/>
      </c>
      <c r="U942" s="1" t="str">
        <f aca="false">IF($E942="","",$E942&amp;"|"&amp;T942)</f>
        <v/>
      </c>
    </row>
    <row r="943" customFormat="false" ht="15" hidden="false" customHeight="false" outlineLevel="0" collapsed="false">
      <c r="T943" s="1" t="str">
        <f aca="false">IF($E943="","",COUNTIF($E$2:$E943,$E943))</f>
        <v/>
      </c>
      <c r="U943" s="1" t="str">
        <f aca="false">IF($E943="","",$E943&amp;"|"&amp;T943)</f>
        <v/>
      </c>
    </row>
    <row r="944" customFormat="false" ht="15" hidden="false" customHeight="false" outlineLevel="0" collapsed="false">
      <c r="T944" s="1" t="str">
        <f aca="false">IF($E944="","",COUNTIF($E$2:$E944,$E944))</f>
        <v/>
      </c>
      <c r="U944" s="1" t="str">
        <f aca="false">IF($E944="","",$E944&amp;"|"&amp;T944)</f>
        <v/>
      </c>
    </row>
    <row r="945" customFormat="false" ht="15" hidden="false" customHeight="false" outlineLevel="0" collapsed="false">
      <c r="T945" s="1" t="str">
        <f aca="false">IF($E945="","",COUNTIF($E$2:$E945,$E945))</f>
        <v/>
      </c>
      <c r="U945" s="1" t="str">
        <f aca="false">IF($E945="","",$E945&amp;"|"&amp;T945)</f>
        <v/>
      </c>
    </row>
    <row r="946" customFormat="false" ht="15" hidden="false" customHeight="false" outlineLevel="0" collapsed="false">
      <c r="T946" s="1" t="str">
        <f aca="false">IF($E946="","",COUNTIF($E$2:$E946,$E946))</f>
        <v/>
      </c>
      <c r="U946" s="1" t="str">
        <f aca="false">IF($E946="","",$E946&amp;"|"&amp;T946)</f>
        <v/>
      </c>
    </row>
    <row r="947" customFormat="false" ht="15" hidden="false" customHeight="false" outlineLevel="0" collapsed="false">
      <c r="T947" s="1" t="str">
        <f aca="false">IF($E947="","",COUNTIF($E$2:$E947,$E947))</f>
        <v/>
      </c>
      <c r="U947" s="1" t="str">
        <f aca="false">IF($E947="","",$E947&amp;"|"&amp;T947)</f>
        <v/>
      </c>
    </row>
    <row r="948" customFormat="false" ht="15" hidden="false" customHeight="false" outlineLevel="0" collapsed="false">
      <c r="T948" s="1" t="str">
        <f aca="false">IF($E948="","",COUNTIF($E$2:$E948,$E948))</f>
        <v/>
      </c>
      <c r="U948" s="1" t="str">
        <f aca="false">IF($E948="","",$E948&amp;"|"&amp;T948)</f>
        <v/>
      </c>
    </row>
    <row r="949" customFormat="false" ht="15" hidden="false" customHeight="false" outlineLevel="0" collapsed="false">
      <c r="T949" s="1" t="str">
        <f aca="false">IF($E949="","",COUNTIF($E$2:$E949,$E949))</f>
        <v/>
      </c>
      <c r="U949" s="1" t="str">
        <f aca="false">IF($E949="","",$E949&amp;"|"&amp;T949)</f>
        <v/>
      </c>
    </row>
    <row r="950" customFormat="false" ht="15" hidden="false" customHeight="false" outlineLevel="0" collapsed="false">
      <c r="T950" s="1" t="str">
        <f aca="false">IF($E950="","",COUNTIF($E$2:$E950,$E950))</f>
        <v/>
      </c>
      <c r="U950" s="1" t="str">
        <f aca="false">IF($E950="","",$E950&amp;"|"&amp;T950)</f>
        <v/>
      </c>
    </row>
    <row r="951" customFormat="false" ht="15" hidden="false" customHeight="false" outlineLevel="0" collapsed="false">
      <c r="T951" s="1" t="str">
        <f aca="false">IF($E951="","",COUNTIF($E$2:$E951,$E951))</f>
        <v/>
      </c>
      <c r="U951" s="1" t="str">
        <f aca="false">IF($E951="","",$E951&amp;"|"&amp;T951)</f>
        <v/>
      </c>
    </row>
    <row r="952" customFormat="false" ht="15" hidden="false" customHeight="false" outlineLevel="0" collapsed="false">
      <c r="T952" s="1" t="str">
        <f aca="false">IF($E952="","",COUNTIF($E$2:$E952,$E952))</f>
        <v/>
      </c>
      <c r="U952" s="1" t="str">
        <f aca="false">IF($E952="","",$E952&amp;"|"&amp;T952)</f>
        <v/>
      </c>
    </row>
    <row r="953" customFormat="false" ht="15" hidden="false" customHeight="false" outlineLevel="0" collapsed="false">
      <c r="T953" s="1" t="str">
        <f aca="false">IF($E953="","",COUNTIF($E$2:$E953,$E953))</f>
        <v/>
      </c>
      <c r="U953" s="1" t="str">
        <f aca="false">IF($E953="","",$E953&amp;"|"&amp;T953)</f>
        <v/>
      </c>
    </row>
    <row r="954" customFormat="false" ht="15" hidden="false" customHeight="false" outlineLevel="0" collapsed="false">
      <c r="T954" s="1" t="str">
        <f aca="false">IF($E954="","",COUNTIF($E$2:$E954,$E954))</f>
        <v/>
      </c>
      <c r="U954" s="1" t="str">
        <f aca="false">IF($E954="","",$E954&amp;"|"&amp;T954)</f>
        <v/>
      </c>
    </row>
    <row r="955" customFormat="false" ht="15" hidden="false" customHeight="false" outlineLevel="0" collapsed="false">
      <c r="T955" s="1" t="str">
        <f aca="false">IF($E955="","",COUNTIF($E$2:$E955,$E955))</f>
        <v/>
      </c>
      <c r="U955" s="1" t="str">
        <f aca="false">IF($E955="","",$E955&amp;"|"&amp;T955)</f>
        <v/>
      </c>
    </row>
    <row r="956" customFormat="false" ht="15" hidden="false" customHeight="false" outlineLevel="0" collapsed="false">
      <c r="T956" s="1" t="str">
        <f aca="false">IF($E956="","",COUNTIF($E$2:$E956,$E956))</f>
        <v/>
      </c>
      <c r="U956" s="1" t="str">
        <f aca="false">IF($E956="","",$E956&amp;"|"&amp;T956)</f>
        <v/>
      </c>
    </row>
    <row r="957" customFormat="false" ht="15" hidden="false" customHeight="false" outlineLevel="0" collapsed="false">
      <c r="T957" s="1" t="str">
        <f aca="false">IF($E957="","",COUNTIF($E$2:$E957,$E957))</f>
        <v/>
      </c>
      <c r="U957" s="1" t="str">
        <f aca="false">IF($E957="","",$E957&amp;"|"&amp;T957)</f>
        <v/>
      </c>
    </row>
    <row r="958" customFormat="false" ht="15" hidden="false" customHeight="false" outlineLevel="0" collapsed="false">
      <c r="T958" s="1" t="str">
        <f aca="false">IF($E958="","",COUNTIF($E$2:$E958,$E958))</f>
        <v/>
      </c>
      <c r="U958" s="1" t="str">
        <f aca="false">IF($E958="","",$E958&amp;"|"&amp;T958)</f>
        <v/>
      </c>
    </row>
    <row r="959" customFormat="false" ht="15" hidden="false" customHeight="false" outlineLevel="0" collapsed="false">
      <c r="T959" s="1" t="str">
        <f aca="false">IF($E959="","",COUNTIF($E$2:$E959,$E959))</f>
        <v/>
      </c>
      <c r="U959" s="1" t="str">
        <f aca="false">IF($E959="","",$E959&amp;"|"&amp;T959)</f>
        <v/>
      </c>
    </row>
    <row r="960" customFormat="false" ht="15" hidden="false" customHeight="false" outlineLevel="0" collapsed="false">
      <c r="T960" s="1" t="str">
        <f aca="false">IF($E960="","",COUNTIF($E$2:$E960,$E960))</f>
        <v/>
      </c>
      <c r="U960" s="1" t="str">
        <f aca="false">IF($E960="","",$E960&amp;"|"&amp;T960)</f>
        <v/>
      </c>
    </row>
    <row r="961" customFormat="false" ht="15" hidden="false" customHeight="false" outlineLevel="0" collapsed="false">
      <c r="T961" s="1" t="str">
        <f aca="false">IF($E961="","",COUNTIF($E$2:$E961,$E961))</f>
        <v/>
      </c>
      <c r="U961" s="1" t="str">
        <f aca="false">IF($E961="","",$E961&amp;"|"&amp;T961)</f>
        <v/>
      </c>
    </row>
    <row r="962" customFormat="false" ht="15" hidden="false" customHeight="false" outlineLevel="0" collapsed="false">
      <c r="T962" s="1" t="str">
        <f aca="false">IF($E962="","",COUNTIF($E$2:$E962,$E962))</f>
        <v/>
      </c>
      <c r="U962" s="1" t="str">
        <f aca="false">IF($E962="","",$E962&amp;"|"&amp;T962)</f>
        <v/>
      </c>
    </row>
    <row r="963" customFormat="false" ht="15" hidden="false" customHeight="false" outlineLevel="0" collapsed="false">
      <c r="T963" s="1" t="str">
        <f aca="false">IF($E963="","",COUNTIF($E$2:$E963,$E963))</f>
        <v/>
      </c>
      <c r="U963" s="1" t="str">
        <f aca="false">IF($E963="","",$E963&amp;"|"&amp;T963)</f>
        <v/>
      </c>
    </row>
    <row r="964" customFormat="false" ht="15" hidden="false" customHeight="false" outlineLevel="0" collapsed="false">
      <c r="T964" s="1" t="str">
        <f aca="false">IF($E964="","",COUNTIF($E$2:$E964,$E964))</f>
        <v/>
      </c>
      <c r="U964" s="1" t="str">
        <f aca="false">IF($E964="","",$E964&amp;"|"&amp;T964)</f>
        <v/>
      </c>
    </row>
    <row r="965" customFormat="false" ht="15" hidden="false" customHeight="false" outlineLevel="0" collapsed="false">
      <c r="T965" s="1" t="str">
        <f aca="false">IF($E965="","",COUNTIF($E$2:$E965,$E965))</f>
        <v/>
      </c>
      <c r="U965" s="1" t="str">
        <f aca="false">IF($E965="","",$E965&amp;"|"&amp;T965)</f>
        <v/>
      </c>
    </row>
    <row r="966" customFormat="false" ht="15" hidden="false" customHeight="false" outlineLevel="0" collapsed="false">
      <c r="T966" s="1" t="str">
        <f aca="false">IF($E966="","",COUNTIF($E$2:$E966,$E966))</f>
        <v/>
      </c>
      <c r="U966" s="1" t="str">
        <f aca="false">IF($E966="","",$E966&amp;"|"&amp;T966)</f>
        <v/>
      </c>
    </row>
    <row r="967" customFormat="false" ht="15" hidden="false" customHeight="false" outlineLevel="0" collapsed="false">
      <c r="T967" s="1" t="str">
        <f aca="false">IF($E967="","",COUNTIF($E$2:$E967,$E967))</f>
        <v/>
      </c>
      <c r="U967" s="1" t="str">
        <f aca="false">IF($E967="","",$E967&amp;"|"&amp;T967)</f>
        <v/>
      </c>
    </row>
    <row r="968" customFormat="false" ht="15" hidden="false" customHeight="false" outlineLevel="0" collapsed="false">
      <c r="T968" s="1" t="str">
        <f aca="false">IF($E968="","",COUNTIF($E$2:$E968,$E968))</f>
        <v/>
      </c>
      <c r="U968" s="1" t="str">
        <f aca="false">IF($E968="","",$E968&amp;"|"&amp;T968)</f>
        <v/>
      </c>
    </row>
    <row r="969" customFormat="false" ht="15" hidden="false" customHeight="false" outlineLevel="0" collapsed="false">
      <c r="T969" s="1" t="str">
        <f aca="false">IF($E969="","",COUNTIF($E$2:$E969,$E969))</f>
        <v/>
      </c>
      <c r="U969" s="1" t="str">
        <f aca="false">IF($E969="","",$E969&amp;"|"&amp;T969)</f>
        <v/>
      </c>
    </row>
    <row r="970" customFormat="false" ht="15" hidden="false" customHeight="false" outlineLevel="0" collapsed="false">
      <c r="T970" s="1" t="str">
        <f aca="false">IF($E970="","",COUNTIF($E$2:$E970,$E970))</f>
        <v/>
      </c>
      <c r="U970" s="1" t="str">
        <f aca="false">IF($E970="","",$E970&amp;"|"&amp;T970)</f>
        <v/>
      </c>
    </row>
    <row r="971" customFormat="false" ht="15" hidden="false" customHeight="false" outlineLevel="0" collapsed="false">
      <c r="T971" s="1" t="str">
        <f aca="false">IF($E971="","",COUNTIF($E$2:$E971,$E971))</f>
        <v/>
      </c>
      <c r="U971" s="1" t="str">
        <f aca="false">IF($E971="","",$E971&amp;"|"&amp;T971)</f>
        <v/>
      </c>
    </row>
    <row r="972" customFormat="false" ht="15" hidden="false" customHeight="false" outlineLevel="0" collapsed="false">
      <c r="T972" s="1" t="str">
        <f aca="false">IF($E972="","",COUNTIF($E$2:$E972,$E972))</f>
        <v/>
      </c>
      <c r="U972" s="1" t="str">
        <f aca="false">IF($E972="","",$E972&amp;"|"&amp;T972)</f>
        <v/>
      </c>
    </row>
    <row r="973" customFormat="false" ht="15" hidden="false" customHeight="false" outlineLevel="0" collapsed="false">
      <c r="T973" s="1" t="str">
        <f aca="false">IF($E973="","",COUNTIF($E$2:$E973,$E973))</f>
        <v/>
      </c>
      <c r="U973" s="1" t="str">
        <f aca="false">IF($E973="","",$E973&amp;"|"&amp;T973)</f>
        <v/>
      </c>
    </row>
    <row r="974" customFormat="false" ht="15" hidden="false" customHeight="false" outlineLevel="0" collapsed="false">
      <c r="T974" s="1" t="str">
        <f aca="false">IF($E974="","",COUNTIF($E$2:$E974,$E974))</f>
        <v/>
      </c>
      <c r="U974" s="1" t="str">
        <f aca="false">IF($E974="","",$E974&amp;"|"&amp;T974)</f>
        <v/>
      </c>
    </row>
    <row r="975" customFormat="false" ht="15" hidden="false" customHeight="false" outlineLevel="0" collapsed="false">
      <c r="T975" s="1" t="str">
        <f aca="false">IF($E975="","",COUNTIF($E$2:$E975,$E975))</f>
        <v/>
      </c>
      <c r="U975" s="1" t="str">
        <f aca="false">IF($E975="","",$E975&amp;"|"&amp;T975)</f>
        <v/>
      </c>
    </row>
    <row r="976" customFormat="false" ht="15" hidden="false" customHeight="false" outlineLevel="0" collapsed="false">
      <c r="T976" s="1" t="str">
        <f aca="false">IF($E976="","",COUNTIF($E$2:$E976,$E976))</f>
        <v/>
      </c>
      <c r="U976" s="1" t="str">
        <f aca="false">IF($E976="","",$E976&amp;"|"&amp;T976)</f>
        <v/>
      </c>
    </row>
    <row r="977" customFormat="false" ht="15" hidden="false" customHeight="false" outlineLevel="0" collapsed="false">
      <c r="T977" s="1" t="str">
        <f aca="false">IF($E977="","",COUNTIF($E$2:$E977,$E977))</f>
        <v/>
      </c>
      <c r="U977" s="1" t="str">
        <f aca="false">IF($E977="","",$E977&amp;"|"&amp;T977)</f>
        <v/>
      </c>
    </row>
    <row r="978" customFormat="false" ht="15" hidden="false" customHeight="false" outlineLevel="0" collapsed="false">
      <c r="T978" s="1" t="str">
        <f aca="false">IF($E978="","",COUNTIF($E$2:$E978,$E978))</f>
        <v/>
      </c>
      <c r="U978" s="1" t="str">
        <f aca="false">IF($E978="","",$E978&amp;"|"&amp;T978)</f>
        <v/>
      </c>
    </row>
    <row r="979" customFormat="false" ht="15" hidden="false" customHeight="false" outlineLevel="0" collapsed="false">
      <c r="T979" s="1" t="str">
        <f aca="false">IF($E979="","",COUNTIF($E$2:$E979,$E979))</f>
        <v/>
      </c>
      <c r="U979" s="1" t="str">
        <f aca="false">IF($E979="","",$E979&amp;"|"&amp;T979)</f>
        <v/>
      </c>
    </row>
    <row r="980" customFormat="false" ht="15" hidden="false" customHeight="false" outlineLevel="0" collapsed="false">
      <c r="T980" s="1" t="str">
        <f aca="false">IF($E980="","",COUNTIF($E$2:$E980,$E980))</f>
        <v/>
      </c>
      <c r="U980" s="1" t="str">
        <f aca="false">IF($E980="","",$E980&amp;"|"&amp;T980)</f>
        <v/>
      </c>
    </row>
    <row r="981" customFormat="false" ht="15" hidden="false" customHeight="false" outlineLevel="0" collapsed="false">
      <c r="T981" s="1" t="str">
        <f aca="false">IF($E981="","",COUNTIF($E$2:$E981,$E981))</f>
        <v/>
      </c>
      <c r="U981" s="1" t="str">
        <f aca="false">IF($E981="","",$E981&amp;"|"&amp;T981)</f>
        <v/>
      </c>
    </row>
    <row r="982" customFormat="false" ht="15" hidden="false" customHeight="false" outlineLevel="0" collapsed="false">
      <c r="T982" s="1" t="str">
        <f aca="false">IF($E982="","",COUNTIF($E$2:$E982,$E982))</f>
        <v/>
      </c>
      <c r="U982" s="1" t="str">
        <f aca="false">IF($E982="","",$E982&amp;"|"&amp;T982)</f>
        <v/>
      </c>
    </row>
    <row r="983" customFormat="false" ht="15" hidden="false" customHeight="false" outlineLevel="0" collapsed="false">
      <c r="T983" s="1" t="str">
        <f aca="false">IF($E983="","",COUNTIF($E$2:$E983,$E983))</f>
        <v/>
      </c>
      <c r="U983" s="1" t="str">
        <f aca="false">IF($E983="","",$E983&amp;"|"&amp;T983)</f>
        <v/>
      </c>
    </row>
    <row r="984" customFormat="false" ht="15" hidden="false" customHeight="false" outlineLevel="0" collapsed="false">
      <c r="T984" s="1" t="str">
        <f aca="false">IF($E984="","",COUNTIF($E$2:$E984,$E984))</f>
        <v/>
      </c>
      <c r="U984" s="1" t="str">
        <f aca="false">IF($E984="","",$E984&amp;"|"&amp;T984)</f>
        <v/>
      </c>
    </row>
    <row r="985" customFormat="false" ht="15" hidden="false" customHeight="false" outlineLevel="0" collapsed="false">
      <c r="T985" s="1" t="str">
        <f aca="false">IF($E985="","",COUNTIF($E$2:$E985,$E985))</f>
        <v/>
      </c>
      <c r="U985" s="1" t="str">
        <f aca="false">IF($E985="","",$E985&amp;"|"&amp;T985)</f>
        <v/>
      </c>
    </row>
    <row r="986" customFormat="false" ht="15" hidden="false" customHeight="false" outlineLevel="0" collapsed="false">
      <c r="T986" s="1" t="str">
        <f aca="false">IF($E986="","",COUNTIF($E$2:$E986,$E986))</f>
        <v/>
      </c>
      <c r="U986" s="1" t="str">
        <f aca="false">IF($E986="","",$E986&amp;"|"&amp;T986)</f>
        <v/>
      </c>
    </row>
    <row r="987" customFormat="false" ht="15" hidden="false" customHeight="false" outlineLevel="0" collapsed="false">
      <c r="T987" s="1" t="str">
        <f aca="false">IF($E987="","",COUNTIF($E$2:$E987,$E987))</f>
        <v/>
      </c>
      <c r="U987" s="1" t="str">
        <f aca="false">IF($E987="","",$E987&amp;"|"&amp;T987)</f>
        <v/>
      </c>
    </row>
    <row r="988" customFormat="false" ht="15" hidden="false" customHeight="false" outlineLevel="0" collapsed="false">
      <c r="T988" s="1" t="str">
        <f aca="false">IF($E988="","",COUNTIF($E$2:$E988,$E988))</f>
        <v/>
      </c>
      <c r="U988" s="1" t="str">
        <f aca="false">IF($E988="","",$E988&amp;"|"&amp;T988)</f>
        <v/>
      </c>
    </row>
    <row r="989" customFormat="false" ht="15" hidden="false" customHeight="false" outlineLevel="0" collapsed="false">
      <c r="T989" s="1" t="str">
        <f aca="false">IF($E989="","",COUNTIF($E$2:$E989,$E989))</f>
        <v/>
      </c>
      <c r="U989" s="1" t="str">
        <f aca="false">IF($E989="","",$E989&amp;"|"&amp;T989)</f>
        <v/>
      </c>
    </row>
    <row r="990" customFormat="false" ht="15" hidden="false" customHeight="false" outlineLevel="0" collapsed="false">
      <c r="T990" s="1" t="str">
        <f aca="false">IF($E990="","",COUNTIF($E$2:$E990,$E990))</f>
        <v/>
      </c>
      <c r="U990" s="1" t="str">
        <f aca="false">IF($E990="","",$E990&amp;"|"&amp;T990)</f>
        <v/>
      </c>
    </row>
    <row r="991" customFormat="false" ht="15" hidden="false" customHeight="false" outlineLevel="0" collapsed="false">
      <c r="T991" s="1" t="str">
        <f aca="false">IF($E991="","",COUNTIF($E$2:$E991,$E991))</f>
        <v/>
      </c>
      <c r="U991" s="1" t="str">
        <f aca="false">IF($E991="","",$E991&amp;"|"&amp;T991)</f>
        <v/>
      </c>
    </row>
    <row r="992" customFormat="false" ht="15" hidden="false" customHeight="false" outlineLevel="0" collapsed="false">
      <c r="T992" s="1" t="str">
        <f aca="false">IF($E992="","",COUNTIF($E$2:$E992,$E992))</f>
        <v/>
      </c>
      <c r="U992" s="1" t="str">
        <f aca="false">IF($E992="","",$E992&amp;"|"&amp;T992)</f>
        <v/>
      </c>
    </row>
    <row r="993" customFormat="false" ht="15" hidden="false" customHeight="false" outlineLevel="0" collapsed="false">
      <c r="T993" s="1" t="str">
        <f aca="false">IF($E993="","",COUNTIF($E$2:$E993,$E993))</f>
        <v/>
      </c>
      <c r="U993" s="1" t="str">
        <f aca="false">IF($E993="","",$E993&amp;"|"&amp;T993)</f>
        <v/>
      </c>
    </row>
    <row r="994" customFormat="false" ht="15" hidden="false" customHeight="false" outlineLevel="0" collapsed="false">
      <c r="T994" s="1" t="str">
        <f aca="false">IF($E994="","",COUNTIF($E$2:$E994,$E994))</f>
        <v/>
      </c>
      <c r="U994" s="1" t="str">
        <f aca="false">IF($E994="","",$E994&amp;"|"&amp;T994)</f>
        <v/>
      </c>
    </row>
    <row r="995" customFormat="false" ht="15" hidden="false" customHeight="false" outlineLevel="0" collapsed="false">
      <c r="T995" s="1" t="str">
        <f aca="false">IF($E995="","",COUNTIF($E$2:$E995,$E995))</f>
        <v/>
      </c>
      <c r="U995" s="1" t="str">
        <f aca="false">IF($E995="","",$E995&amp;"|"&amp;T995)</f>
        <v/>
      </c>
    </row>
    <row r="996" customFormat="false" ht="15" hidden="false" customHeight="false" outlineLevel="0" collapsed="false">
      <c r="T996" s="1" t="str">
        <f aca="false">IF($E996="","",COUNTIF($E$2:$E996,$E996))</f>
        <v/>
      </c>
      <c r="U996" s="1" t="str">
        <f aca="false">IF($E996="","",$E996&amp;"|"&amp;T996)</f>
        <v/>
      </c>
    </row>
    <row r="997" customFormat="false" ht="15" hidden="false" customHeight="false" outlineLevel="0" collapsed="false">
      <c r="T997" s="1" t="str">
        <f aca="false">IF($E997="","",COUNTIF($E$2:$E997,$E997))</f>
        <v/>
      </c>
      <c r="U997" s="1" t="str">
        <f aca="false">IF($E997="","",$E997&amp;"|"&amp;T997)</f>
        <v/>
      </c>
    </row>
    <row r="998" customFormat="false" ht="15" hidden="false" customHeight="false" outlineLevel="0" collapsed="false">
      <c r="T998" s="1" t="str">
        <f aca="false">IF($E998="","",COUNTIF($E$2:$E998,$E998))</f>
        <v/>
      </c>
      <c r="U998" s="1" t="str">
        <f aca="false">IF($E998="","",$E998&amp;"|"&amp;T998)</f>
        <v/>
      </c>
    </row>
    <row r="999" customFormat="false" ht="15" hidden="false" customHeight="false" outlineLevel="0" collapsed="false">
      <c r="T999" s="1" t="str">
        <f aca="false">IF($E999="","",COUNTIF($E$2:$E999,$E999))</f>
        <v/>
      </c>
      <c r="U999" s="1" t="str">
        <f aca="false">IF($E999="","",$E999&amp;"|"&amp;T999)</f>
        <v/>
      </c>
    </row>
    <row r="1000" customFormat="false" ht="15" hidden="false" customHeight="false" outlineLevel="0" collapsed="false">
      <c r="T1000" s="1" t="str">
        <f aca="false">IF($E1000="","",COUNTIF($E$2:$E1000,$E1000))</f>
        <v/>
      </c>
      <c r="U1000" s="1" t="str">
        <f aca="false">IF($E1000="","",$E1000&amp;"|"&amp;T1000)</f>
        <v/>
      </c>
    </row>
    <row r="1001" customFormat="false" ht="15" hidden="false" customHeight="false" outlineLevel="0" collapsed="false">
      <c r="T1001" s="1" t="str">
        <f aca="false">IF($E1001="","",COUNTIF($E$2:$E1001,$E1001))</f>
        <v/>
      </c>
      <c r="U1001" s="1" t="str">
        <f aca="false">IF($E1001="","",$E1001&amp;"|"&amp;T1001)</f>
        <v/>
      </c>
    </row>
    <row r="1002" customFormat="false" ht="15" hidden="false" customHeight="false" outlineLevel="0" collapsed="false">
      <c r="T1002" s="1" t="str">
        <f aca="false">IF($E1002="","",COUNTIF($E$2:$E1002,$E1002))</f>
        <v/>
      </c>
      <c r="U1002" s="1" t="str">
        <f aca="false">IF($E1002="","",$E1002&amp;"|"&amp;T1002)</f>
        <v/>
      </c>
    </row>
    <row r="1003" customFormat="false" ht="15" hidden="false" customHeight="false" outlineLevel="0" collapsed="false">
      <c r="T1003" s="1" t="str">
        <f aca="false">IF($E1003="","",COUNTIF($E$2:$E1003,$E1003))</f>
        <v/>
      </c>
      <c r="U1003" s="1" t="str">
        <f aca="false">IF($E1003="","",$E1003&amp;"|"&amp;T1003)</f>
        <v/>
      </c>
    </row>
    <row r="1004" customFormat="false" ht="15" hidden="false" customHeight="false" outlineLevel="0" collapsed="false">
      <c r="T1004" s="1" t="str">
        <f aca="false">IF($E1004="","",COUNTIF($E$2:$E1004,$E1004))</f>
        <v/>
      </c>
      <c r="U1004" s="1" t="str">
        <f aca="false">IF($E1004="","",$E1004&amp;"|"&amp;T1004)</f>
        <v/>
      </c>
    </row>
    <row r="1005" customFormat="false" ht="15" hidden="false" customHeight="false" outlineLevel="0" collapsed="false">
      <c r="T1005" s="1" t="str">
        <f aca="false">IF($E1005="","",COUNTIF($E$2:$E1005,$E1005))</f>
        <v/>
      </c>
      <c r="U1005" s="1" t="str">
        <f aca="false">IF($E1005="","",$E1005&amp;"|"&amp;T1005)</f>
        <v/>
      </c>
    </row>
    <row r="1006" customFormat="false" ht="15" hidden="false" customHeight="false" outlineLevel="0" collapsed="false">
      <c r="T1006" s="1" t="str">
        <f aca="false">IF($E1006="","",COUNTIF($E$2:$E1006,$E1006))</f>
        <v/>
      </c>
      <c r="U1006" s="1" t="str">
        <f aca="false">IF($E1006="","",$E1006&amp;"|"&amp;T1006)</f>
        <v/>
      </c>
    </row>
    <row r="1007" customFormat="false" ht="15" hidden="false" customHeight="false" outlineLevel="0" collapsed="false">
      <c r="T1007" s="1" t="str">
        <f aca="false">IF($E1007="","",COUNTIF($E$2:$E1007,$E1007))</f>
        <v/>
      </c>
      <c r="U1007" s="1" t="str">
        <f aca="false">IF($E1007="","",$E1007&amp;"|"&amp;T1007)</f>
        <v/>
      </c>
    </row>
    <row r="1008" customFormat="false" ht="15" hidden="false" customHeight="false" outlineLevel="0" collapsed="false">
      <c r="T1008" s="1" t="str">
        <f aca="false">IF($E1008="","",COUNTIF($E$2:$E1008,$E1008))</f>
        <v/>
      </c>
      <c r="U1008" s="1" t="str">
        <f aca="false">IF($E1008="","",$E1008&amp;"|"&amp;T1008)</f>
        <v/>
      </c>
    </row>
    <row r="1009" customFormat="false" ht="15" hidden="false" customHeight="false" outlineLevel="0" collapsed="false">
      <c r="T1009" s="1" t="str">
        <f aca="false">IF($E1009="","",COUNTIF($E$2:$E1009,$E1009))</f>
        <v/>
      </c>
      <c r="U1009" s="1" t="str">
        <f aca="false">IF($E1009="","",$E1009&amp;"|"&amp;T1009)</f>
        <v/>
      </c>
    </row>
    <row r="1010" customFormat="false" ht="15" hidden="false" customHeight="false" outlineLevel="0" collapsed="false">
      <c r="T1010" s="1" t="str">
        <f aca="false">IF($E1010="","",COUNTIF($E$2:$E1010,$E1010))</f>
        <v/>
      </c>
      <c r="U1010" s="1" t="str">
        <f aca="false">IF($E1010="","",$E1010&amp;"|"&amp;T1010)</f>
        <v/>
      </c>
    </row>
    <row r="1011" customFormat="false" ht="15" hidden="false" customHeight="false" outlineLevel="0" collapsed="false">
      <c r="T1011" s="1" t="str">
        <f aca="false">IF($E1011="","",COUNTIF($E$2:$E1011,$E1011))</f>
        <v/>
      </c>
      <c r="U1011" s="1" t="str">
        <f aca="false">IF($E1011="","",$E1011&amp;"|"&amp;T1011)</f>
        <v/>
      </c>
    </row>
    <row r="1012" customFormat="false" ht="15" hidden="false" customHeight="false" outlineLevel="0" collapsed="false">
      <c r="T1012" s="1" t="str">
        <f aca="false">IF($E1012="","",COUNTIF($E$2:$E1012,$E1012))</f>
        <v/>
      </c>
      <c r="U1012" s="1" t="str">
        <f aca="false">IF($E1012="","",$E1012&amp;"|"&amp;T1012)</f>
        <v/>
      </c>
    </row>
    <row r="1013" customFormat="false" ht="15" hidden="false" customHeight="false" outlineLevel="0" collapsed="false">
      <c r="T1013" s="1" t="str">
        <f aca="false">IF($E1013="","",COUNTIF($E$2:$E1013,$E1013))</f>
        <v/>
      </c>
      <c r="U1013" s="1" t="str">
        <f aca="false">IF($E1013="","",$E1013&amp;"|"&amp;T1013)</f>
        <v/>
      </c>
    </row>
    <row r="1014" customFormat="false" ht="15" hidden="false" customHeight="false" outlineLevel="0" collapsed="false">
      <c r="T1014" s="1" t="str">
        <f aca="false">IF($E1014="","",COUNTIF($E$2:$E1014,$E1014))</f>
        <v/>
      </c>
      <c r="U1014" s="1" t="str">
        <f aca="false">IF($E1014="","",$E1014&amp;"|"&amp;T1014)</f>
        <v/>
      </c>
    </row>
    <row r="1015" customFormat="false" ht="15" hidden="false" customHeight="false" outlineLevel="0" collapsed="false">
      <c r="T1015" s="1" t="str">
        <f aca="false">IF($E1015="","",COUNTIF($E$2:$E1015,$E1015))</f>
        <v/>
      </c>
      <c r="U1015" s="1" t="str">
        <f aca="false">IF($E1015="","",$E1015&amp;"|"&amp;T1015)</f>
        <v/>
      </c>
    </row>
    <row r="1016" customFormat="false" ht="15" hidden="false" customHeight="false" outlineLevel="0" collapsed="false">
      <c r="T1016" s="1" t="str">
        <f aca="false">IF($E1016="","",COUNTIF($E$2:$E1016,$E1016))</f>
        <v/>
      </c>
      <c r="U1016" s="1" t="str">
        <f aca="false">IF($E1016="","",$E1016&amp;"|"&amp;T1016)</f>
        <v/>
      </c>
    </row>
    <row r="1017" customFormat="false" ht="15" hidden="false" customHeight="false" outlineLevel="0" collapsed="false">
      <c r="T1017" s="1" t="str">
        <f aca="false">IF($E1017="","",COUNTIF($E$2:$E1017,$E1017))</f>
        <v/>
      </c>
      <c r="U1017" s="1" t="str">
        <f aca="false">IF($E1017="","",$E1017&amp;"|"&amp;T1017)</f>
        <v/>
      </c>
    </row>
    <row r="1018" customFormat="false" ht="15" hidden="false" customHeight="false" outlineLevel="0" collapsed="false">
      <c r="T1018" s="1" t="str">
        <f aca="false">IF($E1018="","",COUNTIF($E$2:$E1018,$E1018))</f>
        <v/>
      </c>
      <c r="U1018" s="1" t="str">
        <f aca="false">IF($E1018="","",$E1018&amp;"|"&amp;T1018)</f>
        <v/>
      </c>
    </row>
    <row r="1019" customFormat="false" ht="15" hidden="false" customHeight="false" outlineLevel="0" collapsed="false">
      <c r="T1019" s="1" t="str">
        <f aca="false">IF($E1019="","",COUNTIF($E$2:$E1019,$E1019))</f>
        <v/>
      </c>
      <c r="U1019" s="1" t="str">
        <f aca="false">IF($E1019="","",$E1019&amp;"|"&amp;T1019)</f>
        <v/>
      </c>
    </row>
    <row r="1020" customFormat="false" ht="15" hidden="false" customHeight="false" outlineLevel="0" collapsed="false">
      <c r="T1020" s="1" t="str">
        <f aca="false">IF($E1020="","",COUNTIF($E$2:$E1020,$E1020))</f>
        <v/>
      </c>
      <c r="U1020" s="1" t="str">
        <f aca="false">IF($E1020="","",$E1020&amp;"|"&amp;T1020)</f>
        <v/>
      </c>
    </row>
    <row r="1021" customFormat="false" ht="15" hidden="false" customHeight="false" outlineLevel="0" collapsed="false">
      <c r="T1021" s="1" t="str">
        <f aca="false">IF($E1021="","",COUNTIF($E$2:$E1021,$E1021))</f>
        <v/>
      </c>
      <c r="U1021" s="1" t="str">
        <f aca="false">IF($E1021="","",$E1021&amp;"|"&amp;T1021)</f>
        <v/>
      </c>
    </row>
    <row r="1022" customFormat="false" ht="15" hidden="false" customHeight="false" outlineLevel="0" collapsed="false">
      <c r="T1022" s="1" t="str">
        <f aca="false">IF($E1022="","",COUNTIF($E$2:$E1022,$E1022))</f>
        <v/>
      </c>
      <c r="U1022" s="1" t="str">
        <f aca="false">IF($E1022="","",$E1022&amp;"|"&amp;T1022)</f>
        <v/>
      </c>
    </row>
    <row r="1023" customFormat="false" ht="15" hidden="false" customHeight="false" outlineLevel="0" collapsed="false">
      <c r="T1023" s="1" t="str">
        <f aca="false">IF($E1023="","",COUNTIF($E$2:$E1023,$E1023))</f>
        <v/>
      </c>
      <c r="U1023" s="1" t="str">
        <f aca="false">IF($E1023="","",$E1023&amp;"|"&amp;T1023)</f>
        <v/>
      </c>
    </row>
    <row r="1024" customFormat="false" ht="15" hidden="false" customHeight="false" outlineLevel="0" collapsed="false">
      <c r="T1024" s="1" t="str">
        <f aca="false">IF($E1024="","",COUNTIF($E$2:$E1024,$E1024))</f>
        <v/>
      </c>
      <c r="U1024" s="1" t="str">
        <f aca="false">IF($E1024="","",$E1024&amp;"|"&amp;T1024)</f>
        <v/>
      </c>
    </row>
    <row r="1025" customFormat="false" ht="15" hidden="false" customHeight="false" outlineLevel="0" collapsed="false">
      <c r="T1025" s="1" t="str">
        <f aca="false">IF($E1025="","",COUNTIF($E$2:$E1025,$E1025))</f>
        <v/>
      </c>
      <c r="U1025" s="1" t="str">
        <f aca="false">IF($E1025="","",$E1025&amp;"|"&amp;T1025)</f>
        <v/>
      </c>
    </row>
    <row r="1026" customFormat="false" ht="15" hidden="false" customHeight="false" outlineLevel="0" collapsed="false">
      <c r="T1026" s="1" t="str">
        <f aca="false">IF($E1026="","",COUNTIF($E$2:$E1026,$E1026))</f>
        <v/>
      </c>
      <c r="U1026" s="1" t="str">
        <f aca="false">IF($E1026="","",$E1026&amp;"|"&amp;T1026)</f>
        <v/>
      </c>
    </row>
    <row r="1027" customFormat="false" ht="15" hidden="false" customHeight="false" outlineLevel="0" collapsed="false">
      <c r="T1027" s="1" t="str">
        <f aca="false">IF($E1027="","",COUNTIF($E$2:$E1027,$E1027))</f>
        <v/>
      </c>
      <c r="U1027" s="1" t="str">
        <f aca="false">IF($E1027="","",$E1027&amp;"|"&amp;T1027)</f>
        <v/>
      </c>
    </row>
    <row r="1028" customFormat="false" ht="15" hidden="false" customHeight="false" outlineLevel="0" collapsed="false">
      <c r="T1028" s="1" t="str">
        <f aca="false">IF($E1028="","",COUNTIF($E$2:$E1028,$E1028))</f>
        <v/>
      </c>
      <c r="U1028" s="1" t="str">
        <f aca="false">IF($E1028="","",$E1028&amp;"|"&amp;T1028)</f>
        <v/>
      </c>
    </row>
    <row r="1029" customFormat="false" ht="15" hidden="false" customHeight="false" outlineLevel="0" collapsed="false">
      <c r="T1029" s="1" t="str">
        <f aca="false">IF($E1029="","",COUNTIF($E$2:$E1029,$E1029))</f>
        <v/>
      </c>
      <c r="U1029" s="1" t="str">
        <f aca="false">IF($E1029="","",$E1029&amp;"|"&amp;T1029)</f>
        <v/>
      </c>
    </row>
    <row r="1030" customFormat="false" ht="15" hidden="false" customHeight="false" outlineLevel="0" collapsed="false">
      <c r="T1030" s="1" t="str">
        <f aca="false">IF($E1030="","",COUNTIF($E$2:$E1030,$E1030))</f>
        <v/>
      </c>
      <c r="U1030" s="1" t="str">
        <f aca="false">IF($E1030="","",$E1030&amp;"|"&amp;T1030)</f>
        <v/>
      </c>
    </row>
    <row r="1031" customFormat="false" ht="15" hidden="false" customHeight="false" outlineLevel="0" collapsed="false">
      <c r="T1031" s="1" t="str">
        <f aca="false">IF($E1031="","",COUNTIF($E$2:$E1031,$E1031))</f>
        <v/>
      </c>
      <c r="U1031" s="1" t="str">
        <f aca="false">IF($E1031="","",$E1031&amp;"|"&amp;T1031)</f>
        <v/>
      </c>
    </row>
    <row r="1032" customFormat="false" ht="15" hidden="false" customHeight="false" outlineLevel="0" collapsed="false">
      <c r="T1032" s="1" t="str">
        <f aca="false">IF($E1032="","",COUNTIF($E$2:$E1032,$E1032))</f>
        <v/>
      </c>
      <c r="U1032" s="1" t="str">
        <f aca="false">IF($E1032="","",$E1032&amp;"|"&amp;T1032)</f>
        <v/>
      </c>
    </row>
    <row r="1033" customFormat="false" ht="15" hidden="false" customHeight="false" outlineLevel="0" collapsed="false">
      <c r="T1033" s="1" t="str">
        <f aca="false">IF($E1033="","",COUNTIF($E$2:$E1033,$E1033))</f>
        <v/>
      </c>
      <c r="U1033" s="1" t="str">
        <f aca="false">IF($E1033="","",$E1033&amp;"|"&amp;T1033)</f>
        <v/>
      </c>
    </row>
    <row r="1034" customFormat="false" ht="15" hidden="false" customHeight="false" outlineLevel="0" collapsed="false">
      <c r="T1034" s="1" t="str">
        <f aca="false">IF($E1034="","",COUNTIF($E$2:$E1034,$E1034))</f>
        <v/>
      </c>
      <c r="U1034" s="1" t="str">
        <f aca="false">IF($E1034="","",$E1034&amp;"|"&amp;T1034)</f>
        <v/>
      </c>
    </row>
    <row r="1035" customFormat="false" ht="15" hidden="false" customHeight="false" outlineLevel="0" collapsed="false">
      <c r="T1035" s="1" t="str">
        <f aca="false">IF($E1035="","",COUNTIF($E$2:$E1035,$E1035))</f>
        <v/>
      </c>
      <c r="U1035" s="1" t="str">
        <f aca="false">IF($E1035="","",$E1035&amp;"|"&amp;T1035)</f>
        <v/>
      </c>
    </row>
    <row r="1036" customFormat="false" ht="15" hidden="false" customHeight="false" outlineLevel="0" collapsed="false">
      <c r="T1036" s="1" t="str">
        <f aca="false">IF($E1036="","",COUNTIF($E$2:$E1036,$E1036))</f>
        <v/>
      </c>
      <c r="U1036" s="1" t="str">
        <f aca="false">IF($E1036="","",$E1036&amp;"|"&amp;T1036)</f>
        <v/>
      </c>
    </row>
    <row r="1037" customFormat="false" ht="15" hidden="false" customHeight="false" outlineLevel="0" collapsed="false">
      <c r="T1037" s="1" t="str">
        <f aca="false">IF($E1037="","",COUNTIF($E$2:$E1037,$E1037))</f>
        <v/>
      </c>
      <c r="U1037" s="1" t="str">
        <f aca="false">IF($E1037="","",$E1037&amp;"|"&amp;T1037)</f>
        <v/>
      </c>
    </row>
    <row r="1038" customFormat="false" ht="15" hidden="false" customHeight="false" outlineLevel="0" collapsed="false">
      <c r="T1038" s="1" t="str">
        <f aca="false">IF($E1038="","",COUNTIF($E$2:$E1038,$E1038))</f>
        <v/>
      </c>
      <c r="U1038" s="1" t="str">
        <f aca="false">IF($E1038="","",$E1038&amp;"|"&amp;T1038)</f>
        <v/>
      </c>
    </row>
    <row r="1039" customFormat="false" ht="15" hidden="false" customHeight="false" outlineLevel="0" collapsed="false">
      <c r="T1039" s="1" t="str">
        <f aca="false">IF($E1039="","",COUNTIF($E$2:$E1039,$E1039))</f>
        <v/>
      </c>
      <c r="U1039" s="1" t="str">
        <f aca="false">IF($E1039="","",$E1039&amp;"|"&amp;T1039)</f>
        <v/>
      </c>
    </row>
    <row r="1040" customFormat="false" ht="15" hidden="false" customHeight="false" outlineLevel="0" collapsed="false">
      <c r="T1040" s="1" t="str">
        <f aca="false">IF($E1040="","",COUNTIF($E$2:$E1040,$E1040))</f>
        <v/>
      </c>
      <c r="U1040" s="1" t="str">
        <f aca="false">IF($E1040="","",$E1040&amp;"|"&amp;T1040)</f>
        <v/>
      </c>
    </row>
    <row r="1041" customFormat="false" ht="15" hidden="false" customHeight="false" outlineLevel="0" collapsed="false">
      <c r="T1041" s="1" t="str">
        <f aca="false">IF($E1041="","",COUNTIF($E$2:$E1041,$E1041))</f>
        <v/>
      </c>
      <c r="U1041" s="1" t="str">
        <f aca="false">IF($E1041="","",$E1041&amp;"|"&amp;T1041)</f>
        <v/>
      </c>
    </row>
    <row r="1042" customFormat="false" ht="15" hidden="false" customHeight="false" outlineLevel="0" collapsed="false">
      <c r="T1042" s="1" t="str">
        <f aca="false">IF($E1042="","",COUNTIF($E$2:$E1042,$E1042))</f>
        <v/>
      </c>
      <c r="U1042" s="1" t="str">
        <f aca="false">IF($E1042="","",$E1042&amp;"|"&amp;T1042)</f>
        <v/>
      </c>
    </row>
    <row r="1043" customFormat="false" ht="15" hidden="false" customHeight="false" outlineLevel="0" collapsed="false">
      <c r="T1043" s="1" t="str">
        <f aca="false">IF($E1043="","",COUNTIF($E$2:$E1043,$E1043))</f>
        <v/>
      </c>
      <c r="U1043" s="1" t="str">
        <f aca="false">IF($E1043="","",$E1043&amp;"|"&amp;T1043)</f>
        <v/>
      </c>
    </row>
    <row r="1044" customFormat="false" ht="15" hidden="false" customHeight="false" outlineLevel="0" collapsed="false">
      <c r="T1044" s="1" t="str">
        <f aca="false">IF($E1044="","",COUNTIF($E$2:$E1044,$E1044))</f>
        <v/>
      </c>
      <c r="U1044" s="1" t="str">
        <f aca="false">IF($E1044="","",$E1044&amp;"|"&amp;T1044)</f>
        <v/>
      </c>
    </row>
    <row r="1045" customFormat="false" ht="15" hidden="false" customHeight="false" outlineLevel="0" collapsed="false">
      <c r="T1045" s="1" t="str">
        <f aca="false">IF($E1045="","",COUNTIF($E$2:$E1045,$E1045))</f>
        <v/>
      </c>
      <c r="U1045" s="1" t="str">
        <f aca="false">IF($E1045="","",$E1045&amp;"|"&amp;T1045)</f>
        <v/>
      </c>
    </row>
    <row r="1046" customFormat="false" ht="15" hidden="false" customHeight="false" outlineLevel="0" collapsed="false">
      <c r="T1046" s="1" t="str">
        <f aca="false">IF($E1046="","",COUNTIF($E$2:$E1046,$E1046))</f>
        <v/>
      </c>
      <c r="U1046" s="1" t="str">
        <f aca="false">IF($E1046="","",$E1046&amp;"|"&amp;T1046)</f>
        <v/>
      </c>
    </row>
    <row r="1047" customFormat="false" ht="15" hidden="false" customHeight="false" outlineLevel="0" collapsed="false">
      <c r="T1047" s="1" t="str">
        <f aca="false">IF($E1047="","",COUNTIF($E$2:$E1047,$E1047))</f>
        <v/>
      </c>
      <c r="U1047" s="1" t="str">
        <f aca="false">IF($E1047="","",$E1047&amp;"|"&amp;T1047)</f>
        <v/>
      </c>
    </row>
    <row r="1048" customFormat="false" ht="15" hidden="false" customHeight="false" outlineLevel="0" collapsed="false">
      <c r="T1048" s="1" t="str">
        <f aca="false">IF($E1048="","",COUNTIF($E$2:$E1048,$E1048))</f>
        <v/>
      </c>
      <c r="U1048" s="1" t="str">
        <f aca="false">IF($E1048="","",$E1048&amp;"|"&amp;T1048)</f>
        <v/>
      </c>
    </row>
    <row r="1049" customFormat="false" ht="15" hidden="false" customHeight="false" outlineLevel="0" collapsed="false">
      <c r="T1049" s="1" t="str">
        <f aca="false">IF($E1049="","",COUNTIF($E$2:$E1049,$E1049))</f>
        <v/>
      </c>
      <c r="U1049" s="1" t="str">
        <f aca="false">IF($E1049="","",$E1049&amp;"|"&amp;T1049)</f>
        <v/>
      </c>
    </row>
    <row r="1050" customFormat="false" ht="15" hidden="false" customHeight="false" outlineLevel="0" collapsed="false">
      <c r="T1050" s="1" t="str">
        <f aca="false">IF($E1050="","",COUNTIF($E$2:$E1050,$E1050))</f>
        <v/>
      </c>
      <c r="U1050" s="1" t="str">
        <f aca="false">IF($E1050="","",$E1050&amp;"|"&amp;T1050)</f>
        <v/>
      </c>
    </row>
    <row r="1051" customFormat="false" ht="15" hidden="false" customHeight="false" outlineLevel="0" collapsed="false">
      <c r="T1051" s="1" t="str">
        <f aca="false">IF($E1051="","",COUNTIF($E$2:$E1051,$E1051))</f>
        <v/>
      </c>
      <c r="U1051" s="1" t="str">
        <f aca="false">IF($E1051="","",$E1051&amp;"|"&amp;T1051)</f>
        <v/>
      </c>
    </row>
    <row r="1052" customFormat="false" ht="15" hidden="false" customHeight="false" outlineLevel="0" collapsed="false">
      <c r="T1052" s="1" t="str">
        <f aca="false">IF($E1052="","",COUNTIF($E$2:$E1052,$E1052))</f>
        <v/>
      </c>
      <c r="U1052" s="1" t="str">
        <f aca="false">IF($E1052="","",$E1052&amp;"|"&amp;T1052)</f>
        <v/>
      </c>
    </row>
    <row r="1053" customFormat="false" ht="15" hidden="false" customHeight="false" outlineLevel="0" collapsed="false">
      <c r="T1053" s="1" t="str">
        <f aca="false">IF($E1053="","",COUNTIF($E$2:$E1053,$E1053))</f>
        <v/>
      </c>
      <c r="U1053" s="1" t="str">
        <f aca="false">IF($E1053="","",$E1053&amp;"|"&amp;T1053)</f>
        <v/>
      </c>
    </row>
    <row r="1054" customFormat="false" ht="15" hidden="false" customHeight="false" outlineLevel="0" collapsed="false">
      <c r="T1054" s="1" t="str">
        <f aca="false">IF($E1054="","",COUNTIF($E$2:$E1054,$E1054))</f>
        <v/>
      </c>
      <c r="U1054" s="1" t="str">
        <f aca="false">IF($E1054="","",$E1054&amp;"|"&amp;T1054)</f>
        <v/>
      </c>
    </row>
    <row r="1055" customFormat="false" ht="15" hidden="false" customHeight="false" outlineLevel="0" collapsed="false">
      <c r="T1055" s="1" t="str">
        <f aca="false">IF($E1055="","",COUNTIF($E$2:$E1055,$E1055))</f>
        <v/>
      </c>
      <c r="U1055" s="1" t="str">
        <f aca="false">IF($E1055="","",$E1055&amp;"|"&amp;T1055)</f>
        <v/>
      </c>
    </row>
    <row r="1056" customFormat="false" ht="15" hidden="false" customHeight="false" outlineLevel="0" collapsed="false">
      <c r="T1056" s="1" t="str">
        <f aca="false">IF($E1056="","",COUNTIF($E$2:$E1056,$E1056))</f>
        <v/>
      </c>
      <c r="U1056" s="1" t="str">
        <f aca="false">IF($E1056="","",$E1056&amp;"|"&amp;T1056)</f>
        <v/>
      </c>
    </row>
    <row r="1057" customFormat="false" ht="15" hidden="false" customHeight="false" outlineLevel="0" collapsed="false">
      <c r="T1057" s="1" t="str">
        <f aca="false">IF($E1057="","",COUNTIF($E$2:$E1057,$E1057))</f>
        <v/>
      </c>
      <c r="U1057" s="1" t="str">
        <f aca="false">IF($E1057="","",$E1057&amp;"|"&amp;T1057)</f>
        <v/>
      </c>
    </row>
    <row r="1058" customFormat="false" ht="15" hidden="false" customHeight="false" outlineLevel="0" collapsed="false">
      <c r="T1058" s="1" t="str">
        <f aca="false">IF($E1058="","",COUNTIF($E$2:$E1058,$E1058))</f>
        <v/>
      </c>
      <c r="U1058" s="1" t="str">
        <f aca="false">IF($E1058="","",$E1058&amp;"|"&amp;T1058)</f>
        <v/>
      </c>
    </row>
    <row r="1059" customFormat="false" ht="15" hidden="false" customHeight="false" outlineLevel="0" collapsed="false">
      <c r="T1059" s="1" t="str">
        <f aca="false">IF($E1059="","",COUNTIF($E$2:$E1059,$E1059))</f>
        <v/>
      </c>
      <c r="U1059" s="1" t="str">
        <f aca="false">IF($E1059="","",$E1059&amp;"|"&amp;T1059)</f>
        <v/>
      </c>
    </row>
    <row r="1060" customFormat="false" ht="15" hidden="false" customHeight="false" outlineLevel="0" collapsed="false">
      <c r="T1060" s="1" t="str">
        <f aca="false">IF($E1060="","",COUNTIF($E$2:$E1060,$E1060))</f>
        <v/>
      </c>
      <c r="U1060" s="1" t="str">
        <f aca="false">IF($E1060="","",$E1060&amp;"|"&amp;T1060)</f>
        <v/>
      </c>
    </row>
    <row r="1061" customFormat="false" ht="15" hidden="false" customHeight="false" outlineLevel="0" collapsed="false">
      <c r="T1061" s="1" t="str">
        <f aca="false">IF($E1061="","",COUNTIF($E$2:$E1061,$E1061))</f>
        <v/>
      </c>
      <c r="U1061" s="1" t="str">
        <f aca="false">IF($E1061="","",$E1061&amp;"|"&amp;T1061)</f>
        <v/>
      </c>
    </row>
    <row r="1062" customFormat="false" ht="15" hidden="false" customHeight="false" outlineLevel="0" collapsed="false">
      <c r="T1062" s="1" t="str">
        <f aca="false">IF($E1062="","",COUNTIF($E$2:$E1062,$E1062))</f>
        <v/>
      </c>
      <c r="U1062" s="1" t="str">
        <f aca="false">IF($E1062="","",$E1062&amp;"|"&amp;T1062)</f>
        <v/>
      </c>
    </row>
    <row r="1063" customFormat="false" ht="15" hidden="false" customHeight="false" outlineLevel="0" collapsed="false">
      <c r="T1063" s="1" t="str">
        <f aca="false">IF($E1063="","",COUNTIF($E$2:$E1063,$E1063))</f>
        <v/>
      </c>
      <c r="U1063" s="1" t="str">
        <f aca="false">IF($E1063="","",$E1063&amp;"|"&amp;T1063)</f>
        <v/>
      </c>
    </row>
    <row r="1064" customFormat="false" ht="15" hidden="false" customHeight="false" outlineLevel="0" collapsed="false">
      <c r="T1064" s="1" t="str">
        <f aca="false">IF($E1064="","",COUNTIF($E$2:$E1064,$E1064))</f>
        <v/>
      </c>
      <c r="U1064" s="1" t="str">
        <f aca="false">IF($E1064="","",$E1064&amp;"|"&amp;T1064)</f>
        <v/>
      </c>
    </row>
    <row r="1065" customFormat="false" ht="15" hidden="false" customHeight="false" outlineLevel="0" collapsed="false">
      <c r="T1065" s="1" t="str">
        <f aca="false">IF($E1065="","",COUNTIF($E$2:$E1065,$E1065))</f>
        <v/>
      </c>
      <c r="U1065" s="1" t="str">
        <f aca="false">IF($E1065="","",$E1065&amp;"|"&amp;T1065)</f>
        <v/>
      </c>
    </row>
    <row r="1066" customFormat="false" ht="15" hidden="false" customHeight="false" outlineLevel="0" collapsed="false">
      <c r="T1066" s="1" t="str">
        <f aca="false">IF($E1066="","",COUNTIF($E$2:$E1066,$E1066))</f>
        <v/>
      </c>
      <c r="U1066" s="1" t="str">
        <f aca="false">IF($E1066="","",$E1066&amp;"|"&amp;T1066)</f>
        <v/>
      </c>
    </row>
    <row r="1067" customFormat="false" ht="15" hidden="false" customHeight="false" outlineLevel="0" collapsed="false">
      <c r="T1067" s="1" t="str">
        <f aca="false">IF($E1067="","",COUNTIF($E$2:$E1067,$E1067))</f>
        <v/>
      </c>
      <c r="U1067" s="1" t="str">
        <f aca="false">IF($E1067="","",$E1067&amp;"|"&amp;T1067)</f>
        <v/>
      </c>
    </row>
    <row r="1068" customFormat="false" ht="15" hidden="false" customHeight="false" outlineLevel="0" collapsed="false">
      <c r="T1068" s="1" t="str">
        <f aca="false">IF($E1068="","",COUNTIF($E$2:$E1068,$E1068))</f>
        <v/>
      </c>
      <c r="U1068" s="1" t="str">
        <f aca="false">IF($E1068="","",$E1068&amp;"|"&amp;T1068)</f>
        <v/>
      </c>
    </row>
    <row r="1069" customFormat="false" ht="15" hidden="false" customHeight="false" outlineLevel="0" collapsed="false">
      <c r="T1069" s="1" t="str">
        <f aca="false">IF($E1069="","",COUNTIF($E$2:$E1069,$E1069))</f>
        <v/>
      </c>
      <c r="U1069" s="1" t="str">
        <f aca="false">IF($E1069="","",$E1069&amp;"|"&amp;T1069)</f>
        <v/>
      </c>
    </row>
    <row r="1070" customFormat="false" ht="15" hidden="false" customHeight="false" outlineLevel="0" collapsed="false">
      <c r="T1070" s="1" t="str">
        <f aca="false">IF($E1070="","",COUNTIF($E$2:$E1070,$E1070))</f>
        <v/>
      </c>
      <c r="U1070" s="1" t="str">
        <f aca="false">IF($E1070="","",$E1070&amp;"|"&amp;T1070)</f>
        <v/>
      </c>
    </row>
    <row r="1071" customFormat="false" ht="15" hidden="false" customHeight="false" outlineLevel="0" collapsed="false">
      <c r="T1071" s="1" t="str">
        <f aca="false">IF($E1071="","",COUNTIF($E$2:$E1071,$E1071))</f>
        <v/>
      </c>
      <c r="U1071" s="1" t="str">
        <f aca="false">IF($E1071="","",$E1071&amp;"|"&amp;T1071)</f>
        <v/>
      </c>
    </row>
    <row r="1072" customFormat="false" ht="15" hidden="false" customHeight="false" outlineLevel="0" collapsed="false">
      <c r="T1072" s="1" t="str">
        <f aca="false">IF($E1072="","",COUNTIF($E$2:$E1072,$E1072))</f>
        <v/>
      </c>
      <c r="U1072" s="1" t="str">
        <f aca="false">IF($E1072="","",$E1072&amp;"|"&amp;T1072)</f>
        <v/>
      </c>
    </row>
    <row r="1073" customFormat="false" ht="15" hidden="false" customHeight="false" outlineLevel="0" collapsed="false">
      <c r="T1073" s="1" t="str">
        <f aca="false">IF($E1073="","",COUNTIF($E$2:$E1073,$E1073))</f>
        <v/>
      </c>
      <c r="U1073" s="1" t="str">
        <f aca="false">IF($E1073="","",$E1073&amp;"|"&amp;T1073)</f>
        <v/>
      </c>
    </row>
    <row r="1074" customFormat="false" ht="15" hidden="false" customHeight="false" outlineLevel="0" collapsed="false">
      <c r="T1074" s="1" t="str">
        <f aca="false">IF($E1074="","",COUNTIF($E$2:$E1074,$E1074))</f>
        <v/>
      </c>
      <c r="U1074" s="1" t="str">
        <f aca="false">IF($E1074="","",$E1074&amp;"|"&amp;T1074)</f>
        <v/>
      </c>
    </row>
    <row r="1075" customFormat="false" ht="15" hidden="false" customHeight="false" outlineLevel="0" collapsed="false">
      <c r="T1075" s="1" t="str">
        <f aca="false">IF($E1075="","",COUNTIF($E$2:$E1075,$E1075))</f>
        <v/>
      </c>
      <c r="U1075" s="1" t="str">
        <f aca="false">IF($E1075="","",$E1075&amp;"|"&amp;T1075)</f>
        <v/>
      </c>
    </row>
    <row r="1076" customFormat="false" ht="15" hidden="false" customHeight="false" outlineLevel="0" collapsed="false">
      <c r="T1076" s="1" t="str">
        <f aca="false">IF($E1076="","",COUNTIF($E$2:$E1076,$E1076))</f>
        <v/>
      </c>
      <c r="U1076" s="1" t="str">
        <f aca="false">IF($E1076="","",$E1076&amp;"|"&amp;T1076)</f>
        <v/>
      </c>
    </row>
    <row r="1077" customFormat="false" ht="15" hidden="false" customHeight="false" outlineLevel="0" collapsed="false">
      <c r="T1077" s="1" t="str">
        <f aca="false">IF($E1077="","",COUNTIF($E$2:$E1077,$E1077))</f>
        <v/>
      </c>
      <c r="U1077" s="1" t="str">
        <f aca="false">IF($E1077="","",$E1077&amp;"|"&amp;T1077)</f>
        <v/>
      </c>
    </row>
    <row r="1078" customFormat="false" ht="15" hidden="false" customHeight="false" outlineLevel="0" collapsed="false">
      <c r="T1078" s="1" t="str">
        <f aca="false">IF($E1078="","",COUNTIF($E$2:$E1078,$E1078))</f>
        <v/>
      </c>
      <c r="U1078" s="1" t="str">
        <f aca="false">IF($E1078="","",$E1078&amp;"|"&amp;T1078)</f>
        <v/>
      </c>
    </row>
    <row r="1079" customFormat="false" ht="15" hidden="false" customHeight="false" outlineLevel="0" collapsed="false">
      <c r="T1079" s="1" t="str">
        <f aca="false">IF($E1079="","",COUNTIF($E$2:$E1079,$E1079))</f>
        <v/>
      </c>
      <c r="U1079" s="1" t="str">
        <f aca="false">IF($E1079="","",$E1079&amp;"|"&amp;T1079)</f>
        <v/>
      </c>
    </row>
    <row r="1080" customFormat="false" ht="15" hidden="false" customHeight="false" outlineLevel="0" collapsed="false">
      <c r="T1080" s="1" t="str">
        <f aca="false">IF($E1080="","",COUNTIF($E$2:$E1080,$E1080))</f>
        <v/>
      </c>
      <c r="U1080" s="1" t="str">
        <f aca="false">IF($E1080="","",$E1080&amp;"|"&amp;T1080)</f>
        <v/>
      </c>
    </row>
    <row r="1081" customFormat="false" ht="15" hidden="false" customHeight="false" outlineLevel="0" collapsed="false">
      <c r="T1081" s="1" t="str">
        <f aca="false">IF($E1081="","",COUNTIF($E$2:$E1081,$E1081))</f>
        <v/>
      </c>
      <c r="U1081" s="1" t="str">
        <f aca="false">IF($E1081="","",$E1081&amp;"|"&amp;T1081)</f>
        <v/>
      </c>
    </row>
    <row r="1082" customFormat="false" ht="15" hidden="false" customHeight="false" outlineLevel="0" collapsed="false">
      <c r="T1082" s="1" t="str">
        <f aca="false">IF($E1082="","",COUNTIF($E$2:$E1082,$E1082))</f>
        <v/>
      </c>
      <c r="U1082" s="1" t="str">
        <f aca="false">IF($E1082="","",$E1082&amp;"|"&amp;T1082)</f>
        <v/>
      </c>
    </row>
    <row r="1083" customFormat="false" ht="15" hidden="false" customHeight="false" outlineLevel="0" collapsed="false">
      <c r="T1083" s="1" t="str">
        <f aca="false">IF($E1083="","",COUNTIF($E$2:$E1083,$E1083))</f>
        <v/>
      </c>
      <c r="U1083" s="1" t="str">
        <f aca="false">IF($E1083="","",$E1083&amp;"|"&amp;T1083)</f>
        <v/>
      </c>
    </row>
    <row r="1084" customFormat="false" ht="15" hidden="false" customHeight="false" outlineLevel="0" collapsed="false">
      <c r="T1084" s="1" t="str">
        <f aca="false">IF($E1084="","",COUNTIF($E$2:$E1084,$E1084))</f>
        <v/>
      </c>
      <c r="U1084" s="1" t="str">
        <f aca="false">IF($E1084="","",$E1084&amp;"|"&amp;T1084)</f>
        <v/>
      </c>
    </row>
    <row r="1085" customFormat="false" ht="15" hidden="false" customHeight="false" outlineLevel="0" collapsed="false">
      <c r="T1085" s="1" t="str">
        <f aca="false">IF($E1085="","",COUNTIF($E$2:$E1085,$E1085))</f>
        <v/>
      </c>
      <c r="U1085" s="1" t="str">
        <f aca="false">IF($E1085="","",$E1085&amp;"|"&amp;T1085)</f>
        <v/>
      </c>
    </row>
    <row r="1086" customFormat="false" ht="15" hidden="false" customHeight="false" outlineLevel="0" collapsed="false">
      <c r="T1086" s="1" t="str">
        <f aca="false">IF($E1086="","",COUNTIF($E$2:$E1086,$E1086))</f>
        <v/>
      </c>
      <c r="U1086" s="1" t="str">
        <f aca="false">IF($E1086="","",$E1086&amp;"|"&amp;T1086)</f>
        <v/>
      </c>
    </row>
    <row r="1087" customFormat="false" ht="15" hidden="false" customHeight="false" outlineLevel="0" collapsed="false">
      <c r="T1087" s="1" t="str">
        <f aca="false">IF($E1087="","",COUNTIF($E$2:$E1087,$E1087))</f>
        <v/>
      </c>
      <c r="U1087" s="1" t="str">
        <f aca="false">IF($E1087="","",$E1087&amp;"|"&amp;T1087)</f>
        <v/>
      </c>
    </row>
    <row r="1088" customFormat="false" ht="15" hidden="false" customHeight="false" outlineLevel="0" collapsed="false">
      <c r="T1088" s="1" t="str">
        <f aca="false">IF($E1088="","",COUNTIF($E$2:$E1088,$E1088))</f>
        <v/>
      </c>
      <c r="U1088" s="1" t="str">
        <f aca="false">IF($E1088="","",$E1088&amp;"|"&amp;T1088)</f>
        <v/>
      </c>
    </row>
    <row r="1089" customFormat="false" ht="15" hidden="false" customHeight="false" outlineLevel="0" collapsed="false">
      <c r="T1089" s="1" t="str">
        <f aca="false">IF($E1089="","",COUNTIF($E$2:$E1089,$E1089))</f>
        <v/>
      </c>
      <c r="U1089" s="1" t="str">
        <f aca="false">IF($E1089="","",$E1089&amp;"|"&amp;T1089)</f>
        <v/>
      </c>
    </row>
    <row r="1090" customFormat="false" ht="15" hidden="false" customHeight="false" outlineLevel="0" collapsed="false">
      <c r="T1090" s="1" t="str">
        <f aca="false">IF($E1090="","",COUNTIF($E$2:$E1090,$E1090))</f>
        <v/>
      </c>
      <c r="U1090" s="1" t="str">
        <f aca="false">IF($E1090="","",$E1090&amp;"|"&amp;T1090)</f>
        <v/>
      </c>
    </row>
    <row r="1091" customFormat="false" ht="15" hidden="false" customHeight="false" outlineLevel="0" collapsed="false">
      <c r="T1091" s="1" t="str">
        <f aca="false">IF($E1091="","",COUNTIF($E$2:$E1091,$E1091))</f>
        <v/>
      </c>
      <c r="U1091" s="1" t="str">
        <f aca="false">IF($E1091="","",$E1091&amp;"|"&amp;T1091)</f>
        <v/>
      </c>
    </row>
    <row r="1092" customFormat="false" ht="15" hidden="false" customHeight="false" outlineLevel="0" collapsed="false">
      <c r="T1092" s="1" t="str">
        <f aca="false">IF($E1092="","",COUNTIF($E$2:$E1092,$E1092))</f>
        <v/>
      </c>
      <c r="U1092" s="1" t="str">
        <f aca="false">IF($E1092="","",$E1092&amp;"|"&amp;T1092)</f>
        <v/>
      </c>
    </row>
    <row r="1093" customFormat="false" ht="15" hidden="false" customHeight="false" outlineLevel="0" collapsed="false">
      <c r="T1093" s="1" t="str">
        <f aca="false">IF($E1093="","",COUNTIF($E$2:$E1093,$E1093))</f>
        <v/>
      </c>
      <c r="U1093" s="1" t="str">
        <f aca="false">IF($E1093="","",$E1093&amp;"|"&amp;T1093)</f>
        <v/>
      </c>
    </row>
    <row r="1094" customFormat="false" ht="15" hidden="false" customHeight="false" outlineLevel="0" collapsed="false">
      <c r="T1094" s="1" t="str">
        <f aca="false">IF($E1094="","",COUNTIF($E$2:$E1094,$E1094))</f>
        <v/>
      </c>
      <c r="U1094" s="1" t="str">
        <f aca="false">IF($E1094="","",$E1094&amp;"|"&amp;T1094)</f>
        <v/>
      </c>
    </row>
    <row r="1095" customFormat="false" ht="15" hidden="false" customHeight="false" outlineLevel="0" collapsed="false">
      <c r="T1095" s="1" t="str">
        <f aca="false">IF($E1095="","",COUNTIF($E$2:$E1095,$E1095))</f>
        <v/>
      </c>
      <c r="U1095" s="1" t="str">
        <f aca="false">IF($E1095="","",$E1095&amp;"|"&amp;T1095)</f>
        <v/>
      </c>
    </row>
    <row r="1096" customFormat="false" ht="15" hidden="false" customHeight="false" outlineLevel="0" collapsed="false">
      <c r="T1096" s="1" t="str">
        <f aca="false">IF($E1096="","",COUNTIF($E$2:$E1096,$E1096))</f>
        <v/>
      </c>
      <c r="U1096" s="1" t="str">
        <f aca="false">IF($E1096="","",$E1096&amp;"|"&amp;T1096)</f>
        <v/>
      </c>
    </row>
    <row r="1097" customFormat="false" ht="15" hidden="false" customHeight="false" outlineLevel="0" collapsed="false">
      <c r="T1097" s="1" t="str">
        <f aca="false">IF($E1097="","",COUNTIF($E$2:$E1097,$E1097))</f>
        <v/>
      </c>
      <c r="U1097" s="1" t="str">
        <f aca="false">IF($E1097="","",$E1097&amp;"|"&amp;T1097)</f>
        <v/>
      </c>
    </row>
    <row r="1098" customFormat="false" ht="15" hidden="false" customHeight="false" outlineLevel="0" collapsed="false">
      <c r="T1098" s="1" t="str">
        <f aca="false">IF($E1098="","",COUNTIF($E$2:$E1098,$E1098))</f>
        <v/>
      </c>
      <c r="U1098" s="1" t="str">
        <f aca="false">IF($E1098="","",$E1098&amp;"|"&amp;T1098)</f>
        <v/>
      </c>
    </row>
    <row r="1099" customFormat="false" ht="15" hidden="false" customHeight="false" outlineLevel="0" collapsed="false">
      <c r="T1099" s="1" t="str">
        <f aca="false">IF($E1099="","",COUNTIF($E$2:$E1099,$E1099))</f>
        <v/>
      </c>
      <c r="U1099" s="1" t="str">
        <f aca="false">IF($E1099="","",$E1099&amp;"|"&amp;T1099)</f>
        <v/>
      </c>
    </row>
    <row r="1100" customFormat="false" ht="15" hidden="false" customHeight="false" outlineLevel="0" collapsed="false">
      <c r="T1100" s="1" t="str">
        <f aca="false">IF($E1100="","",COUNTIF($E$2:$E1100,$E1100))</f>
        <v/>
      </c>
      <c r="U1100" s="1" t="str">
        <f aca="false">IF($E1100="","",$E1100&amp;"|"&amp;T1100)</f>
        <v/>
      </c>
    </row>
    <row r="1101" customFormat="false" ht="15" hidden="false" customHeight="false" outlineLevel="0" collapsed="false">
      <c r="T1101" s="1" t="str">
        <f aca="false">IF($E1101="","",COUNTIF($E$2:$E1101,$E1101))</f>
        <v/>
      </c>
      <c r="U1101" s="1" t="str">
        <f aca="false">IF($E1101="","",$E1101&amp;"|"&amp;T1101)</f>
        <v/>
      </c>
    </row>
    <row r="1102" customFormat="false" ht="15" hidden="false" customHeight="false" outlineLevel="0" collapsed="false">
      <c r="T1102" s="1" t="str">
        <f aca="false">IF($E1102="","",COUNTIF($E$2:$E1102,$E1102))</f>
        <v/>
      </c>
      <c r="U1102" s="1" t="str">
        <f aca="false">IF($E1102="","",$E1102&amp;"|"&amp;T1102)</f>
        <v/>
      </c>
    </row>
    <row r="1103" customFormat="false" ht="15" hidden="false" customHeight="false" outlineLevel="0" collapsed="false">
      <c r="T1103" s="1" t="str">
        <f aca="false">IF($E1103="","",COUNTIF($E$2:$E1103,$E1103))</f>
        <v/>
      </c>
      <c r="U1103" s="1" t="str">
        <f aca="false">IF($E1103="","",$E1103&amp;"|"&amp;T1103)</f>
        <v/>
      </c>
    </row>
    <row r="1104" customFormat="false" ht="15" hidden="false" customHeight="false" outlineLevel="0" collapsed="false">
      <c r="T1104" s="1" t="str">
        <f aca="false">IF($E1104="","",COUNTIF($E$2:$E1104,$E1104))</f>
        <v/>
      </c>
      <c r="U1104" s="1" t="str">
        <f aca="false">IF($E1104="","",$E1104&amp;"|"&amp;T1104)</f>
        <v/>
      </c>
    </row>
    <row r="1105" customFormat="false" ht="15" hidden="false" customHeight="false" outlineLevel="0" collapsed="false">
      <c r="T1105" s="1" t="str">
        <f aca="false">IF($E1105="","",COUNTIF($E$2:$E1105,$E1105))</f>
        <v/>
      </c>
      <c r="U1105" s="1" t="str">
        <f aca="false">IF($E1105="","",$E1105&amp;"|"&amp;T1105)</f>
        <v/>
      </c>
    </row>
    <row r="1106" customFormat="false" ht="15" hidden="false" customHeight="false" outlineLevel="0" collapsed="false">
      <c r="T1106" s="1" t="str">
        <f aca="false">IF($E1106="","",COUNTIF($E$2:$E1106,$E1106))</f>
        <v/>
      </c>
      <c r="U1106" s="1" t="str">
        <f aca="false">IF($E1106="","",$E1106&amp;"|"&amp;T1106)</f>
        <v/>
      </c>
    </row>
    <row r="1107" customFormat="false" ht="15" hidden="false" customHeight="false" outlineLevel="0" collapsed="false">
      <c r="T1107" s="1" t="str">
        <f aca="false">IF($E1107="","",COUNTIF($E$2:$E1107,$E1107))</f>
        <v/>
      </c>
      <c r="U1107" s="1" t="str">
        <f aca="false">IF($E1107="","",$E1107&amp;"|"&amp;T1107)</f>
        <v/>
      </c>
    </row>
    <row r="1108" customFormat="false" ht="15" hidden="false" customHeight="false" outlineLevel="0" collapsed="false">
      <c r="T1108" s="1" t="str">
        <f aca="false">IF($E1108="","",COUNTIF($E$2:$E1108,$E1108))</f>
        <v/>
      </c>
      <c r="U1108" s="1" t="str">
        <f aca="false">IF($E1108="","",$E1108&amp;"|"&amp;T1108)</f>
        <v/>
      </c>
    </row>
    <row r="1109" customFormat="false" ht="15" hidden="false" customHeight="false" outlineLevel="0" collapsed="false">
      <c r="T1109" s="1" t="str">
        <f aca="false">IF($E1109="","",COUNTIF($E$2:$E1109,$E1109))</f>
        <v/>
      </c>
      <c r="U1109" s="1" t="str">
        <f aca="false">IF($E1109="","",$E1109&amp;"|"&amp;T1109)</f>
        <v/>
      </c>
    </row>
    <row r="1110" customFormat="false" ht="15" hidden="false" customHeight="false" outlineLevel="0" collapsed="false">
      <c r="T1110" s="1" t="str">
        <f aca="false">IF($E1110="","",COUNTIF($E$2:$E1110,$E1110))</f>
        <v/>
      </c>
      <c r="U1110" s="1" t="str">
        <f aca="false">IF($E1110="","",$E1110&amp;"|"&amp;T1110)</f>
        <v/>
      </c>
    </row>
    <row r="1111" customFormat="false" ht="15" hidden="false" customHeight="false" outlineLevel="0" collapsed="false">
      <c r="T1111" s="1" t="str">
        <f aca="false">IF($E1111="","",COUNTIF($E$2:$E1111,$E1111))</f>
        <v/>
      </c>
      <c r="U1111" s="1" t="str">
        <f aca="false">IF($E1111="","",$E1111&amp;"|"&amp;T1111)</f>
        <v/>
      </c>
    </row>
    <row r="1112" customFormat="false" ht="15" hidden="false" customHeight="false" outlineLevel="0" collapsed="false">
      <c r="T1112" s="1" t="str">
        <f aca="false">IF($E1112="","",COUNTIF($E$2:$E1112,$E1112))</f>
        <v/>
      </c>
      <c r="U1112" s="1" t="str">
        <f aca="false">IF($E1112="","",$E1112&amp;"|"&amp;T1112)</f>
        <v/>
      </c>
    </row>
    <row r="1113" customFormat="false" ht="15" hidden="false" customHeight="false" outlineLevel="0" collapsed="false">
      <c r="T1113" s="1" t="str">
        <f aca="false">IF($E1113="","",COUNTIF($E$2:$E1113,$E1113))</f>
        <v/>
      </c>
      <c r="U1113" s="1" t="str">
        <f aca="false">IF($E1113="","",$E1113&amp;"|"&amp;T1113)</f>
        <v/>
      </c>
    </row>
    <row r="1114" customFormat="false" ht="15" hidden="false" customHeight="false" outlineLevel="0" collapsed="false">
      <c r="T1114" s="1" t="str">
        <f aca="false">IF($E1114="","",COUNTIF($E$2:$E1114,$E1114))</f>
        <v/>
      </c>
      <c r="U1114" s="1" t="str">
        <f aca="false">IF($E1114="","",$E1114&amp;"|"&amp;T1114)</f>
        <v/>
      </c>
    </row>
    <row r="1115" customFormat="false" ht="15" hidden="false" customHeight="false" outlineLevel="0" collapsed="false">
      <c r="T1115" s="1" t="str">
        <f aca="false">IF($E1115="","",COUNTIF($E$2:$E1115,$E1115))</f>
        <v/>
      </c>
      <c r="U1115" s="1" t="str">
        <f aca="false">IF($E1115="","",$E1115&amp;"|"&amp;T1115)</f>
        <v/>
      </c>
    </row>
    <row r="1116" customFormat="false" ht="15" hidden="false" customHeight="false" outlineLevel="0" collapsed="false">
      <c r="T1116" s="1" t="str">
        <f aca="false">IF($E1116="","",COUNTIF($E$2:$E1116,$E1116))</f>
        <v/>
      </c>
      <c r="U1116" s="1" t="str">
        <f aca="false">IF($E1116="","",$E1116&amp;"|"&amp;T1116)</f>
        <v/>
      </c>
    </row>
    <row r="1117" customFormat="false" ht="15" hidden="false" customHeight="false" outlineLevel="0" collapsed="false">
      <c r="T1117" s="1" t="str">
        <f aca="false">IF($E1117="","",COUNTIF($E$2:$E1117,$E1117))</f>
        <v/>
      </c>
      <c r="U1117" s="1" t="str">
        <f aca="false">IF($E1117="","",$E1117&amp;"|"&amp;T1117)</f>
        <v/>
      </c>
    </row>
    <row r="1118" customFormat="false" ht="15" hidden="false" customHeight="false" outlineLevel="0" collapsed="false">
      <c r="T1118" s="1" t="str">
        <f aca="false">IF($E1118="","",COUNTIF($E$2:$E1118,$E1118))</f>
        <v/>
      </c>
      <c r="U1118" s="1" t="str">
        <f aca="false">IF($E1118="","",$E1118&amp;"|"&amp;T1118)</f>
        <v/>
      </c>
    </row>
    <row r="1119" customFormat="false" ht="15" hidden="false" customHeight="false" outlineLevel="0" collapsed="false">
      <c r="T1119" s="1" t="str">
        <f aca="false">IF($E1119="","",COUNTIF($E$2:$E1119,$E1119))</f>
        <v/>
      </c>
      <c r="U1119" s="1" t="str">
        <f aca="false">IF($E1119="","",$E1119&amp;"|"&amp;T1119)</f>
        <v/>
      </c>
    </row>
    <row r="1120" customFormat="false" ht="15" hidden="false" customHeight="false" outlineLevel="0" collapsed="false">
      <c r="T1120" s="1" t="str">
        <f aca="false">IF($E1120="","",COUNTIF($E$2:$E1120,$E1120))</f>
        <v/>
      </c>
      <c r="U1120" s="1" t="str">
        <f aca="false">IF($E1120="","",$E1120&amp;"|"&amp;T1120)</f>
        <v/>
      </c>
    </row>
    <row r="1121" customFormat="false" ht="15" hidden="false" customHeight="false" outlineLevel="0" collapsed="false">
      <c r="T1121" s="1" t="str">
        <f aca="false">IF($E1121="","",COUNTIF($E$2:$E1121,$E1121))</f>
        <v/>
      </c>
      <c r="U1121" s="1" t="str">
        <f aca="false">IF($E1121="","",$E1121&amp;"|"&amp;T1121)</f>
        <v/>
      </c>
    </row>
    <row r="1122" customFormat="false" ht="15" hidden="false" customHeight="false" outlineLevel="0" collapsed="false">
      <c r="T1122" s="1" t="str">
        <f aca="false">IF($E1122="","",COUNTIF($E$2:$E1122,$E1122))</f>
        <v/>
      </c>
      <c r="U1122" s="1" t="str">
        <f aca="false">IF($E1122="","",$E1122&amp;"|"&amp;T1122)</f>
        <v/>
      </c>
    </row>
    <row r="1123" customFormat="false" ht="15" hidden="false" customHeight="false" outlineLevel="0" collapsed="false">
      <c r="T1123" s="1" t="str">
        <f aca="false">IF($E1123="","",COUNTIF($E$2:$E1123,$E1123))</f>
        <v/>
      </c>
      <c r="U1123" s="1" t="str">
        <f aca="false">IF($E1123="","",$E1123&amp;"|"&amp;T1123)</f>
        <v/>
      </c>
    </row>
    <row r="1124" customFormat="false" ht="15" hidden="false" customHeight="false" outlineLevel="0" collapsed="false">
      <c r="T1124" s="1" t="str">
        <f aca="false">IF($E1124="","",COUNTIF($E$2:$E1124,$E1124))</f>
        <v/>
      </c>
      <c r="U1124" s="1" t="str">
        <f aca="false">IF($E1124="","",$E1124&amp;"|"&amp;T1124)</f>
        <v/>
      </c>
    </row>
    <row r="1125" customFormat="false" ht="15" hidden="false" customHeight="false" outlineLevel="0" collapsed="false">
      <c r="T1125" s="1" t="str">
        <f aca="false">IF($E1125="","",COUNTIF($E$2:$E1125,$E1125))</f>
        <v/>
      </c>
      <c r="U1125" s="1" t="str">
        <f aca="false">IF($E1125="","",$E1125&amp;"|"&amp;T1125)</f>
        <v/>
      </c>
    </row>
    <row r="1126" customFormat="false" ht="15" hidden="false" customHeight="false" outlineLevel="0" collapsed="false">
      <c r="T1126" s="1" t="str">
        <f aca="false">IF($E1126="","",COUNTIF($E$2:$E1126,$E1126))</f>
        <v/>
      </c>
      <c r="U1126" s="1" t="str">
        <f aca="false">IF($E1126="","",$E1126&amp;"|"&amp;T1126)</f>
        <v/>
      </c>
    </row>
    <row r="1127" customFormat="false" ht="15" hidden="false" customHeight="false" outlineLevel="0" collapsed="false">
      <c r="T1127" s="1" t="str">
        <f aca="false">IF($E1127="","",COUNTIF($E$2:$E1127,$E1127))</f>
        <v/>
      </c>
      <c r="U1127" s="1" t="str">
        <f aca="false">IF($E1127="","",$E1127&amp;"|"&amp;T1127)</f>
        <v/>
      </c>
    </row>
    <row r="1128" customFormat="false" ht="15" hidden="false" customHeight="false" outlineLevel="0" collapsed="false">
      <c r="T1128" s="1" t="str">
        <f aca="false">IF($E1128="","",COUNTIF($E$2:$E1128,$E1128))</f>
        <v/>
      </c>
      <c r="U1128" s="1" t="str">
        <f aca="false">IF($E1128="","",$E1128&amp;"|"&amp;T1128)</f>
        <v/>
      </c>
    </row>
    <row r="1129" customFormat="false" ht="15" hidden="false" customHeight="false" outlineLevel="0" collapsed="false">
      <c r="T1129" s="1" t="str">
        <f aca="false">IF($E1129="","",COUNTIF($E$2:$E1129,$E1129))</f>
        <v/>
      </c>
      <c r="U1129" s="1" t="str">
        <f aca="false">IF($E1129="","",$E1129&amp;"|"&amp;T1129)</f>
        <v/>
      </c>
    </row>
    <row r="1130" customFormat="false" ht="15" hidden="false" customHeight="false" outlineLevel="0" collapsed="false">
      <c r="T1130" s="1" t="str">
        <f aca="false">IF($E1130="","",COUNTIF($E$2:$E1130,$E1130))</f>
        <v/>
      </c>
      <c r="U1130" s="1" t="str">
        <f aca="false">IF($E1130="","",$E1130&amp;"|"&amp;T1130)</f>
        <v/>
      </c>
    </row>
    <row r="1131" customFormat="false" ht="15" hidden="false" customHeight="false" outlineLevel="0" collapsed="false">
      <c r="T1131" s="1" t="str">
        <f aca="false">IF($E1131="","",COUNTIF($E$2:$E1131,$E1131))</f>
        <v/>
      </c>
      <c r="U1131" s="1" t="str">
        <f aca="false">IF($E1131="","",$E1131&amp;"|"&amp;T1131)</f>
        <v/>
      </c>
    </row>
    <row r="1132" customFormat="false" ht="15" hidden="false" customHeight="false" outlineLevel="0" collapsed="false">
      <c r="T1132" s="1" t="str">
        <f aca="false">IF($E1132="","",COUNTIF($E$2:$E1132,$E1132))</f>
        <v/>
      </c>
      <c r="U1132" s="1" t="str">
        <f aca="false">IF($E1132="","",$E1132&amp;"|"&amp;T1132)</f>
        <v/>
      </c>
    </row>
    <row r="1133" customFormat="false" ht="15" hidden="false" customHeight="false" outlineLevel="0" collapsed="false">
      <c r="T1133" s="1" t="str">
        <f aca="false">IF($E1133="","",COUNTIF($E$2:$E1133,$E1133))</f>
        <v/>
      </c>
      <c r="U1133" s="1" t="str">
        <f aca="false">IF($E1133="","",$E1133&amp;"|"&amp;T1133)</f>
        <v/>
      </c>
    </row>
    <row r="1134" customFormat="false" ht="15" hidden="false" customHeight="false" outlineLevel="0" collapsed="false">
      <c r="T1134" s="1" t="str">
        <f aca="false">IF($E1134="","",COUNTIF($E$2:$E1134,$E1134))</f>
        <v/>
      </c>
      <c r="U1134" s="1" t="str">
        <f aca="false">IF($E1134="","",$E1134&amp;"|"&amp;T1134)</f>
        <v/>
      </c>
    </row>
    <row r="1135" customFormat="false" ht="15" hidden="false" customHeight="false" outlineLevel="0" collapsed="false">
      <c r="T1135" s="1" t="str">
        <f aca="false">IF($E1135="","",COUNTIF($E$2:$E1135,$E1135))</f>
        <v/>
      </c>
      <c r="U1135" s="1" t="str">
        <f aca="false">IF($E1135="","",$E1135&amp;"|"&amp;T1135)</f>
        <v/>
      </c>
    </row>
    <row r="1136" customFormat="false" ht="15" hidden="false" customHeight="false" outlineLevel="0" collapsed="false">
      <c r="T1136" s="1" t="str">
        <f aca="false">IF($E1136="","",COUNTIF($E$2:$E1136,$E1136))</f>
        <v/>
      </c>
      <c r="U1136" s="1" t="str">
        <f aca="false">IF($E1136="","",$E1136&amp;"|"&amp;T1136)</f>
        <v/>
      </c>
    </row>
    <row r="1137" customFormat="false" ht="15" hidden="false" customHeight="false" outlineLevel="0" collapsed="false">
      <c r="T1137" s="1" t="str">
        <f aca="false">IF($E1137="","",COUNTIF($E$2:$E1137,$E1137))</f>
        <v/>
      </c>
      <c r="U1137" s="1" t="str">
        <f aca="false">IF($E1137="","",$E1137&amp;"|"&amp;T1137)</f>
        <v/>
      </c>
    </row>
    <row r="1138" customFormat="false" ht="15" hidden="false" customHeight="false" outlineLevel="0" collapsed="false">
      <c r="T1138" s="1" t="str">
        <f aca="false">IF($E1138="","",COUNTIF($E$2:$E1138,$E1138))</f>
        <v/>
      </c>
      <c r="U1138" s="1" t="str">
        <f aca="false">IF($E1138="","",$E1138&amp;"|"&amp;T1138)</f>
        <v/>
      </c>
    </row>
    <row r="1139" customFormat="false" ht="15" hidden="false" customHeight="false" outlineLevel="0" collapsed="false">
      <c r="T1139" s="1" t="str">
        <f aca="false">IF($E1139="","",COUNTIF($E$2:$E1139,$E1139))</f>
        <v/>
      </c>
      <c r="U1139" s="1" t="str">
        <f aca="false">IF($E1139="","",$E1139&amp;"|"&amp;T1139)</f>
        <v/>
      </c>
    </row>
    <row r="1140" customFormat="false" ht="15" hidden="false" customHeight="false" outlineLevel="0" collapsed="false">
      <c r="T1140" s="1" t="str">
        <f aca="false">IF($E1140="","",COUNTIF($E$2:$E1140,$E1140))</f>
        <v/>
      </c>
      <c r="U1140" s="1" t="str">
        <f aca="false">IF($E1140="","",$E1140&amp;"|"&amp;T1140)</f>
        <v/>
      </c>
    </row>
    <row r="1141" customFormat="false" ht="15" hidden="false" customHeight="false" outlineLevel="0" collapsed="false">
      <c r="T1141" s="1" t="str">
        <f aca="false">IF($E1141="","",COUNTIF($E$2:$E1141,$E1141))</f>
        <v/>
      </c>
      <c r="U1141" s="1" t="str">
        <f aca="false">IF($E1141="","",$E1141&amp;"|"&amp;T1141)</f>
        <v/>
      </c>
    </row>
    <row r="1142" customFormat="false" ht="15" hidden="false" customHeight="false" outlineLevel="0" collapsed="false">
      <c r="T1142" s="1" t="str">
        <f aca="false">IF($E1142="","",COUNTIF($E$2:$E1142,$E1142))</f>
        <v/>
      </c>
      <c r="U1142" s="1" t="str">
        <f aca="false">IF($E1142="","",$E1142&amp;"|"&amp;T1142)</f>
        <v/>
      </c>
    </row>
    <row r="1143" customFormat="false" ht="15" hidden="false" customHeight="false" outlineLevel="0" collapsed="false">
      <c r="T1143" s="1" t="str">
        <f aca="false">IF($E1143="","",COUNTIF($E$2:$E1143,$E1143))</f>
        <v/>
      </c>
      <c r="U1143" s="1" t="str">
        <f aca="false">IF($E1143="","",$E1143&amp;"|"&amp;T1143)</f>
        <v/>
      </c>
    </row>
    <row r="1144" customFormat="false" ht="15" hidden="false" customHeight="false" outlineLevel="0" collapsed="false">
      <c r="T1144" s="1" t="str">
        <f aca="false">IF($E1144="","",COUNTIF($E$2:$E1144,$E1144))</f>
        <v/>
      </c>
      <c r="U1144" s="1" t="str">
        <f aca="false">IF($E1144="","",$E1144&amp;"|"&amp;T1144)</f>
        <v/>
      </c>
    </row>
    <row r="1145" customFormat="false" ht="15" hidden="false" customHeight="false" outlineLevel="0" collapsed="false">
      <c r="T1145" s="1" t="str">
        <f aca="false">IF($E1145="","",COUNTIF($E$2:$E1145,$E1145))</f>
        <v/>
      </c>
      <c r="U1145" s="1" t="str">
        <f aca="false">IF($E1145="","",$E1145&amp;"|"&amp;T1145)</f>
        <v/>
      </c>
    </row>
    <row r="1146" customFormat="false" ht="15" hidden="false" customHeight="false" outlineLevel="0" collapsed="false">
      <c r="T1146" s="1" t="str">
        <f aca="false">IF($E1146="","",COUNTIF($E$2:$E1146,$E1146))</f>
        <v/>
      </c>
      <c r="U1146" s="1" t="str">
        <f aca="false">IF($E1146="","",$E1146&amp;"|"&amp;T1146)</f>
        <v/>
      </c>
    </row>
    <row r="1147" customFormat="false" ht="15" hidden="false" customHeight="false" outlineLevel="0" collapsed="false">
      <c r="T1147" s="1" t="str">
        <f aca="false">IF($E1147="","",COUNTIF($E$2:$E1147,$E1147))</f>
        <v/>
      </c>
      <c r="U1147" s="1" t="str">
        <f aca="false">IF($E1147="","",$E1147&amp;"|"&amp;T1147)</f>
        <v/>
      </c>
    </row>
    <row r="1148" customFormat="false" ht="15" hidden="false" customHeight="false" outlineLevel="0" collapsed="false">
      <c r="T1148" s="1" t="str">
        <f aca="false">IF($E1148="","",COUNTIF($E$2:$E1148,$E1148))</f>
        <v/>
      </c>
      <c r="U1148" s="1" t="str">
        <f aca="false">IF($E1148="","",$E1148&amp;"|"&amp;T1148)</f>
        <v/>
      </c>
    </row>
    <row r="1149" customFormat="false" ht="15" hidden="false" customHeight="false" outlineLevel="0" collapsed="false">
      <c r="T1149" s="1" t="str">
        <f aca="false">IF($E1149="","",COUNTIF($E$2:$E1149,$E1149))</f>
        <v/>
      </c>
      <c r="U1149" s="1" t="str">
        <f aca="false">IF($E1149="","",$E1149&amp;"|"&amp;T1149)</f>
        <v/>
      </c>
    </row>
    <row r="1150" customFormat="false" ht="15" hidden="false" customHeight="false" outlineLevel="0" collapsed="false">
      <c r="T1150" s="1" t="str">
        <f aca="false">IF($E1150="","",COUNTIF($E$2:$E1150,$E1150))</f>
        <v/>
      </c>
      <c r="U1150" s="1" t="str">
        <f aca="false">IF($E1150="","",$E1150&amp;"|"&amp;T1150)</f>
        <v/>
      </c>
    </row>
    <row r="1151" customFormat="false" ht="15" hidden="false" customHeight="false" outlineLevel="0" collapsed="false">
      <c r="T1151" s="1" t="str">
        <f aca="false">IF($E1151="","",COUNTIF($E$2:$E1151,$E1151))</f>
        <v/>
      </c>
      <c r="U1151" s="1" t="str">
        <f aca="false">IF($E1151="","",$E1151&amp;"|"&amp;T1151)</f>
        <v/>
      </c>
    </row>
    <row r="1152" customFormat="false" ht="15" hidden="false" customHeight="false" outlineLevel="0" collapsed="false">
      <c r="T1152" s="1" t="str">
        <f aca="false">IF($E1152="","",COUNTIF($E$2:$E1152,$E1152))</f>
        <v/>
      </c>
      <c r="U1152" s="1" t="str">
        <f aca="false">IF($E1152="","",$E1152&amp;"|"&amp;T1152)</f>
        <v/>
      </c>
    </row>
    <row r="1153" customFormat="false" ht="15" hidden="false" customHeight="false" outlineLevel="0" collapsed="false">
      <c r="T1153" s="1" t="str">
        <f aca="false">IF($E1153="","",COUNTIF($E$2:$E1153,$E1153))</f>
        <v/>
      </c>
      <c r="U1153" s="1" t="str">
        <f aca="false">IF($E1153="","",$E1153&amp;"|"&amp;T1153)</f>
        <v/>
      </c>
    </row>
    <row r="1154" customFormat="false" ht="15" hidden="false" customHeight="false" outlineLevel="0" collapsed="false">
      <c r="T1154" s="1" t="str">
        <f aca="false">IF($E1154="","",COUNTIF($E$2:$E1154,$E1154))</f>
        <v/>
      </c>
      <c r="U1154" s="1" t="str">
        <f aca="false">IF($E1154="","",$E1154&amp;"|"&amp;T1154)</f>
        <v/>
      </c>
    </row>
    <row r="1155" customFormat="false" ht="15" hidden="false" customHeight="false" outlineLevel="0" collapsed="false">
      <c r="T1155" s="1" t="str">
        <f aca="false">IF($E1155="","",COUNTIF($E$2:$E1155,$E1155))</f>
        <v/>
      </c>
      <c r="U1155" s="1" t="str">
        <f aca="false">IF($E1155="","",$E1155&amp;"|"&amp;T1155)</f>
        <v/>
      </c>
    </row>
    <row r="1156" customFormat="false" ht="15" hidden="false" customHeight="false" outlineLevel="0" collapsed="false">
      <c r="T1156" s="1" t="str">
        <f aca="false">IF($E1156="","",COUNTIF($E$2:$E1156,$E1156))</f>
        <v/>
      </c>
      <c r="U1156" s="1" t="str">
        <f aca="false">IF($E1156="","",$E1156&amp;"|"&amp;T1156)</f>
        <v/>
      </c>
    </row>
    <row r="1157" customFormat="false" ht="15" hidden="false" customHeight="false" outlineLevel="0" collapsed="false">
      <c r="T1157" s="1" t="str">
        <f aca="false">IF($E1157="","",COUNTIF($E$2:$E1157,$E1157))</f>
        <v/>
      </c>
      <c r="U1157" s="1" t="str">
        <f aca="false">IF($E1157="","",$E1157&amp;"|"&amp;T1157)</f>
        <v/>
      </c>
    </row>
    <row r="1158" customFormat="false" ht="15" hidden="false" customHeight="false" outlineLevel="0" collapsed="false">
      <c r="T1158" s="1" t="str">
        <f aca="false">IF($E1158="","",COUNTIF($E$2:$E1158,$E1158))</f>
        <v/>
      </c>
      <c r="U1158" s="1" t="str">
        <f aca="false">IF($E1158="","",$E1158&amp;"|"&amp;T1158)</f>
        <v/>
      </c>
    </row>
    <row r="1159" customFormat="false" ht="15" hidden="false" customHeight="false" outlineLevel="0" collapsed="false">
      <c r="T1159" s="1" t="str">
        <f aca="false">IF($E1159="","",COUNTIF($E$2:$E1159,$E1159))</f>
        <v/>
      </c>
      <c r="U1159" s="1" t="str">
        <f aca="false">IF($E1159="","",$E1159&amp;"|"&amp;T1159)</f>
        <v/>
      </c>
    </row>
    <row r="1160" customFormat="false" ht="15" hidden="false" customHeight="false" outlineLevel="0" collapsed="false">
      <c r="T1160" s="1" t="str">
        <f aca="false">IF($E1160="","",COUNTIF($E$2:$E1160,$E1160))</f>
        <v/>
      </c>
      <c r="U1160" s="1" t="str">
        <f aca="false">IF($E1160="","",$E1160&amp;"|"&amp;T1160)</f>
        <v/>
      </c>
    </row>
    <row r="1161" customFormat="false" ht="15" hidden="false" customHeight="false" outlineLevel="0" collapsed="false">
      <c r="T1161" s="1" t="str">
        <f aca="false">IF($E1161="","",COUNTIF($E$2:$E1161,$E1161))</f>
        <v/>
      </c>
      <c r="U1161" s="1" t="str">
        <f aca="false">IF($E1161="","",$E1161&amp;"|"&amp;T1161)</f>
        <v/>
      </c>
    </row>
    <row r="1162" customFormat="false" ht="15" hidden="false" customHeight="false" outlineLevel="0" collapsed="false">
      <c r="T1162" s="1" t="str">
        <f aca="false">IF($E1162="","",COUNTIF($E$2:$E1162,$E1162))</f>
        <v/>
      </c>
      <c r="U1162" s="1" t="str">
        <f aca="false">IF($E1162="","",$E1162&amp;"|"&amp;T1162)</f>
        <v/>
      </c>
    </row>
    <row r="1163" customFormat="false" ht="15" hidden="false" customHeight="false" outlineLevel="0" collapsed="false">
      <c r="T1163" s="1" t="str">
        <f aca="false">IF($E1163="","",COUNTIF($E$2:$E1163,$E1163))</f>
        <v/>
      </c>
      <c r="U1163" s="1" t="str">
        <f aca="false">IF($E1163="","",$E1163&amp;"|"&amp;T1163)</f>
        <v/>
      </c>
    </row>
    <row r="1164" customFormat="false" ht="15" hidden="false" customHeight="false" outlineLevel="0" collapsed="false">
      <c r="T1164" s="1" t="str">
        <f aca="false">IF($E1164="","",COUNTIF($E$2:$E1164,$E1164))</f>
        <v/>
      </c>
      <c r="U1164" s="1" t="str">
        <f aca="false">IF($E1164="","",$E1164&amp;"|"&amp;T1164)</f>
        <v/>
      </c>
    </row>
    <row r="1165" customFormat="false" ht="15" hidden="false" customHeight="false" outlineLevel="0" collapsed="false">
      <c r="T1165" s="1" t="str">
        <f aca="false">IF($E1165="","",COUNTIF($E$2:$E1165,$E1165))</f>
        <v/>
      </c>
      <c r="U1165" s="1" t="str">
        <f aca="false">IF($E1165="","",$E1165&amp;"|"&amp;T1165)</f>
        <v/>
      </c>
    </row>
    <row r="1166" customFormat="false" ht="15" hidden="false" customHeight="false" outlineLevel="0" collapsed="false">
      <c r="T1166" s="1" t="str">
        <f aca="false">IF($E1166="","",COUNTIF($E$2:$E1166,$E1166))</f>
        <v/>
      </c>
      <c r="U1166" s="1" t="str">
        <f aca="false">IF($E1166="","",$E1166&amp;"|"&amp;T1166)</f>
        <v/>
      </c>
    </row>
    <row r="1167" customFormat="false" ht="15" hidden="false" customHeight="false" outlineLevel="0" collapsed="false">
      <c r="T1167" s="1" t="str">
        <f aca="false">IF($E1167="","",COUNTIF($E$2:$E1167,$E1167))</f>
        <v/>
      </c>
      <c r="U1167" s="1" t="str">
        <f aca="false">IF($E1167="","",$E1167&amp;"|"&amp;T1167)</f>
        <v/>
      </c>
    </row>
    <row r="1168" customFormat="false" ht="15" hidden="false" customHeight="false" outlineLevel="0" collapsed="false">
      <c r="T1168" s="1" t="str">
        <f aca="false">IF($E1168="","",COUNTIF($E$2:$E1168,$E1168))</f>
        <v/>
      </c>
      <c r="U1168" s="1" t="str">
        <f aca="false">IF($E1168="","",$E1168&amp;"|"&amp;T1168)</f>
        <v/>
      </c>
    </row>
    <row r="1169" customFormat="false" ht="15" hidden="false" customHeight="false" outlineLevel="0" collapsed="false">
      <c r="T1169" s="1" t="str">
        <f aca="false">IF($E1169="","",COUNTIF($E$2:$E1169,$E1169))</f>
        <v/>
      </c>
      <c r="U1169" s="1" t="str">
        <f aca="false">IF($E1169="","",$E1169&amp;"|"&amp;T1169)</f>
        <v/>
      </c>
    </row>
    <row r="1170" customFormat="false" ht="15" hidden="false" customHeight="false" outlineLevel="0" collapsed="false">
      <c r="T1170" s="1" t="str">
        <f aca="false">IF($E1170="","",COUNTIF($E$2:$E1170,$E1170))</f>
        <v/>
      </c>
      <c r="U1170" s="1" t="str">
        <f aca="false">IF($E1170="","",$E1170&amp;"|"&amp;T1170)</f>
        <v/>
      </c>
    </row>
    <row r="1171" customFormat="false" ht="15" hidden="false" customHeight="false" outlineLevel="0" collapsed="false">
      <c r="T1171" s="1" t="str">
        <f aca="false">IF($E1171="","",COUNTIF($E$2:$E1171,$E1171))</f>
        <v/>
      </c>
      <c r="U1171" s="1" t="str">
        <f aca="false">IF($E1171="","",$E1171&amp;"|"&amp;T1171)</f>
        <v/>
      </c>
    </row>
    <row r="1172" customFormat="false" ht="15" hidden="false" customHeight="false" outlineLevel="0" collapsed="false">
      <c r="T1172" s="1" t="str">
        <f aca="false">IF($E1172="","",COUNTIF($E$2:$E1172,$E1172))</f>
        <v/>
      </c>
      <c r="U1172" s="1" t="str">
        <f aca="false">IF($E1172="","",$E1172&amp;"|"&amp;T1172)</f>
        <v/>
      </c>
    </row>
    <row r="1173" customFormat="false" ht="15" hidden="false" customHeight="false" outlineLevel="0" collapsed="false">
      <c r="T1173" s="1" t="str">
        <f aca="false">IF($E1173="","",COUNTIF($E$2:$E1173,$E1173))</f>
        <v/>
      </c>
      <c r="U1173" s="1" t="str">
        <f aca="false">IF($E1173="","",$E1173&amp;"|"&amp;T1173)</f>
        <v/>
      </c>
    </row>
    <row r="1174" customFormat="false" ht="15" hidden="false" customHeight="false" outlineLevel="0" collapsed="false">
      <c r="T1174" s="1" t="str">
        <f aca="false">IF($E1174="","",COUNTIF($E$2:$E1174,$E1174))</f>
        <v/>
      </c>
      <c r="U1174" s="1" t="str">
        <f aca="false">IF($E1174="","",$E1174&amp;"|"&amp;T1174)</f>
        <v/>
      </c>
    </row>
    <row r="1175" customFormat="false" ht="15" hidden="false" customHeight="false" outlineLevel="0" collapsed="false">
      <c r="T1175" s="1" t="str">
        <f aca="false">IF($E1175="","",COUNTIF($E$2:$E1175,$E1175))</f>
        <v/>
      </c>
      <c r="U1175" s="1" t="str">
        <f aca="false">IF($E1175="","",$E1175&amp;"|"&amp;T1175)</f>
        <v/>
      </c>
    </row>
    <row r="1176" customFormat="false" ht="15" hidden="false" customHeight="false" outlineLevel="0" collapsed="false">
      <c r="T1176" s="1" t="str">
        <f aca="false">IF($E1176="","",COUNTIF($E$2:$E1176,$E1176))</f>
        <v/>
      </c>
      <c r="U1176" s="1" t="str">
        <f aca="false">IF($E1176="","",$E1176&amp;"|"&amp;T1176)</f>
        <v/>
      </c>
    </row>
    <row r="1177" customFormat="false" ht="15" hidden="false" customHeight="false" outlineLevel="0" collapsed="false">
      <c r="T1177" s="1" t="str">
        <f aca="false">IF($E1177="","",COUNTIF($E$2:$E1177,$E1177))</f>
        <v/>
      </c>
      <c r="U1177" s="1" t="str">
        <f aca="false">IF($E1177="","",$E1177&amp;"|"&amp;T1177)</f>
        <v/>
      </c>
    </row>
    <row r="1178" customFormat="false" ht="15" hidden="false" customHeight="false" outlineLevel="0" collapsed="false">
      <c r="T1178" s="1" t="str">
        <f aca="false">IF($E1178="","",COUNTIF($E$2:$E1178,$E1178))</f>
        <v/>
      </c>
      <c r="U1178" s="1" t="str">
        <f aca="false">IF($E1178="","",$E1178&amp;"|"&amp;T1178)</f>
        <v/>
      </c>
    </row>
    <row r="1179" customFormat="false" ht="15" hidden="false" customHeight="false" outlineLevel="0" collapsed="false">
      <c r="T1179" s="1" t="str">
        <f aca="false">IF($E1179="","",COUNTIF($E$2:$E1179,$E1179))</f>
        <v/>
      </c>
      <c r="U1179" s="1" t="str">
        <f aca="false">IF($E1179="","",$E1179&amp;"|"&amp;T1179)</f>
        <v/>
      </c>
    </row>
    <row r="1180" customFormat="false" ht="15" hidden="false" customHeight="false" outlineLevel="0" collapsed="false">
      <c r="T1180" s="1" t="str">
        <f aca="false">IF($E1180="","",COUNTIF($E$2:$E1180,$E1180))</f>
        <v/>
      </c>
      <c r="U1180" s="1" t="str">
        <f aca="false">IF($E1180="","",$E1180&amp;"|"&amp;T1180)</f>
        <v/>
      </c>
    </row>
    <row r="1181" customFormat="false" ht="15" hidden="false" customHeight="false" outlineLevel="0" collapsed="false">
      <c r="T1181" s="1" t="str">
        <f aca="false">IF($E1181="","",COUNTIF($E$2:$E1181,$E1181))</f>
        <v/>
      </c>
      <c r="U1181" s="1" t="str">
        <f aca="false">IF($E1181="","",$E1181&amp;"|"&amp;T1181)</f>
        <v/>
      </c>
    </row>
    <row r="1182" customFormat="false" ht="15" hidden="false" customHeight="false" outlineLevel="0" collapsed="false">
      <c r="T1182" s="1" t="str">
        <f aca="false">IF($E1182="","",COUNTIF($E$2:$E1182,$E1182))</f>
        <v/>
      </c>
      <c r="U1182" s="1" t="str">
        <f aca="false">IF($E1182="","",$E1182&amp;"|"&amp;T1182)</f>
        <v/>
      </c>
    </row>
    <row r="1183" customFormat="false" ht="15" hidden="false" customHeight="false" outlineLevel="0" collapsed="false">
      <c r="T1183" s="1" t="str">
        <f aca="false">IF($E1183="","",COUNTIF($E$2:$E1183,$E1183))</f>
        <v/>
      </c>
      <c r="U1183" s="1" t="str">
        <f aca="false">IF($E1183="","",$E1183&amp;"|"&amp;T1183)</f>
        <v/>
      </c>
    </row>
    <row r="1184" customFormat="false" ht="15" hidden="false" customHeight="false" outlineLevel="0" collapsed="false">
      <c r="T1184" s="1" t="str">
        <f aca="false">IF($E1184="","",COUNTIF($E$2:$E1184,$E1184))</f>
        <v/>
      </c>
      <c r="U1184" s="1" t="str">
        <f aca="false">IF($E1184="","",$E1184&amp;"|"&amp;T1184)</f>
        <v/>
      </c>
    </row>
    <row r="1185" customFormat="false" ht="15" hidden="false" customHeight="false" outlineLevel="0" collapsed="false">
      <c r="T1185" s="1" t="str">
        <f aca="false">IF($E1185="","",COUNTIF($E$2:$E1185,$E1185))</f>
        <v/>
      </c>
      <c r="U1185" s="1" t="str">
        <f aca="false">IF($E1185="","",$E1185&amp;"|"&amp;T1185)</f>
        <v/>
      </c>
    </row>
    <row r="1186" customFormat="false" ht="15" hidden="false" customHeight="false" outlineLevel="0" collapsed="false">
      <c r="T1186" s="1" t="str">
        <f aca="false">IF($E1186="","",COUNTIF($E$2:$E1186,$E1186))</f>
        <v/>
      </c>
      <c r="U1186" s="1" t="str">
        <f aca="false">IF($E1186="","",$E1186&amp;"|"&amp;T1186)</f>
        <v/>
      </c>
    </row>
    <row r="1187" customFormat="false" ht="15" hidden="false" customHeight="false" outlineLevel="0" collapsed="false">
      <c r="T1187" s="1" t="str">
        <f aca="false">IF($E1187="","",COUNTIF($E$2:$E1187,$E1187))</f>
        <v/>
      </c>
      <c r="U1187" s="1" t="str">
        <f aca="false">IF($E1187="","",$E1187&amp;"|"&amp;T1187)</f>
        <v/>
      </c>
    </row>
    <row r="1188" customFormat="false" ht="15" hidden="false" customHeight="false" outlineLevel="0" collapsed="false">
      <c r="T1188" s="1" t="str">
        <f aca="false">IF($E1188="","",COUNTIF($E$2:$E1188,$E1188))</f>
        <v/>
      </c>
      <c r="U1188" s="1" t="str">
        <f aca="false">IF($E1188="","",$E1188&amp;"|"&amp;T1188)</f>
        <v/>
      </c>
    </row>
    <row r="1189" customFormat="false" ht="15" hidden="false" customHeight="false" outlineLevel="0" collapsed="false">
      <c r="T1189" s="1" t="str">
        <f aca="false">IF($E1189="","",COUNTIF($E$2:$E1189,$E1189))</f>
        <v/>
      </c>
      <c r="U1189" s="1" t="str">
        <f aca="false">IF($E1189="","",$E1189&amp;"|"&amp;T1189)</f>
        <v/>
      </c>
    </row>
    <row r="1190" customFormat="false" ht="15" hidden="false" customHeight="false" outlineLevel="0" collapsed="false">
      <c r="T1190" s="1" t="str">
        <f aca="false">IF($E1190="","",COUNTIF($E$2:$E1190,$E1190))</f>
        <v/>
      </c>
      <c r="U1190" s="1" t="str">
        <f aca="false">IF($E1190="","",$E1190&amp;"|"&amp;T1190)</f>
        <v/>
      </c>
    </row>
    <row r="1191" customFormat="false" ht="15" hidden="false" customHeight="false" outlineLevel="0" collapsed="false">
      <c r="T1191" s="1" t="str">
        <f aca="false">IF($E1191="","",COUNTIF($E$2:$E1191,$E1191))</f>
        <v/>
      </c>
      <c r="U1191" s="1" t="str">
        <f aca="false">IF($E1191="","",$E1191&amp;"|"&amp;T1191)</f>
        <v/>
      </c>
    </row>
    <row r="1192" customFormat="false" ht="15" hidden="false" customHeight="false" outlineLevel="0" collapsed="false">
      <c r="T1192" s="1" t="str">
        <f aca="false">IF($E1192="","",COUNTIF($E$2:$E1192,$E1192))</f>
        <v/>
      </c>
      <c r="U1192" s="1" t="str">
        <f aca="false">IF($E1192="","",$E1192&amp;"|"&amp;T1192)</f>
        <v/>
      </c>
    </row>
    <row r="1193" customFormat="false" ht="15" hidden="false" customHeight="false" outlineLevel="0" collapsed="false">
      <c r="T1193" s="1" t="str">
        <f aca="false">IF($E1193="","",COUNTIF($E$2:$E1193,$E1193))</f>
        <v/>
      </c>
      <c r="U1193" s="1" t="str">
        <f aca="false">IF($E1193="","",$E1193&amp;"|"&amp;T1193)</f>
        <v/>
      </c>
    </row>
    <row r="1194" customFormat="false" ht="15" hidden="false" customHeight="false" outlineLevel="0" collapsed="false">
      <c r="T1194" s="1" t="str">
        <f aca="false">IF($E1194="","",COUNTIF($E$2:$E1194,$E1194))</f>
        <v/>
      </c>
      <c r="U1194" s="1" t="str">
        <f aca="false">IF($E1194="","",$E1194&amp;"|"&amp;T1194)</f>
        <v/>
      </c>
    </row>
    <row r="1195" customFormat="false" ht="15" hidden="false" customHeight="false" outlineLevel="0" collapsed="false">
      <c r="T1195" s="1" t="str">
        <f aca="false">IF($E1195="","",COUNTIF($E$2:$E1195,$E1195))</f>
        <v/>
      </c>
      <c r="U1195" s="1" t="str">
        <f aca="false">IF($E1195="","",$E1195&amp;"|"&amp;T1195)</f>
        <v/>
      </c>
    </row>
    <row r="1196" customFormat="false" ht="15" hidden="false" customHeight="false" outlineLevel="0" collapsed="false">
      <c r="T1196" s="1" t="str">
        <f aca="false">IF($E1196="","",COUNTIF($E$2:$E1196,$E1196))</f>
        <v/>
      </c>
      <c r="U1196" s="1" t="str">
        <f aca="false">IF($E1196="","",$E1196&amp;"|"&amp;T1196)</f>
        <v/>
      </c>
    </row>
    <row r="1197" customFormat="false" ht="15" hidden="false" customHeight="false" outlineLevel="0" collapsed="false">
      <c r="T1197" s="1" t="str">
        <f aca="false">IF($E1197="","",COUNTIF($E$2:$E1197,$E1197))</f>
        <v/>
      </c>
      <c r="U1197" s="1" t="str">
        <f aca="false">IF($E1197="","",$E1197&amp;"|"&amp;T1197)</f>
        <v/>
      </c>
    </row>
    <row r="1198" customFormat="false" ht="15" hidden="false" customHeight="false" outlineLevel="0" collapsed="false">
      <c r="T1198" s="1" t="str">
        <f aca="false">IF($E1198="","",COUNTIF($E$2:$E1198,$E1198))</f>
        <v/>
      </c>
      <c r="U1198" s="1" t="str">
        <f aca="false">IF($E1198="","",$E1198&amp;"|"&amp;T1198)</f>
        <v/>
      </c>
    </row>
    <row r="1199" customFormat="false" ht="15" hidden="false" customHeight="false" outlineLevel="0" collapsed="false">
      <c r="T1199" s="1" t="str">
        <f aca="false">IF($E1199="","",COUNTIF($E$2:$E1199,$E1199))</f>
        <v/>
      </c>
      <c r="U1199" s="1" t="str">
        <f aca="false">IF($E1199="","",$E1199&amp;"|"&amp;T1199)</f>
        <v/>
      </c>
    </row>
    <row r="1200" customFormat="false" ht="15" hidden="false" customHeight="false" outlineLevel="0" collapsed="false">
      <c r="T1200" s="1" t="str">
        <f aca="false">IF($E1200="","",COUNTIF($E$2:$E1200,$E1200))</f>
        <v/>
      </c>
      <c r="U1200" s="1" t="str">
        <f aca="false">IF($E1200="","",$E1200&amp;"|"&amp;T1200)</f>
        <v/>
      </c>
    </row>
    <row r="1201" customFormat="false" ht="15" hidden="false" customHeight="false" outlineLevel="0" collapsed="false">
      <c r="T1201" s="1" t="str">
        <f aca="false">IF($E1201="","",COUNTIF($E$2:$E1201,$E1201))</f>
        <v/>
      </c>
      <c r="U1201" s="1" t="str">
        <f aca="false">IF($E1201="","",$E1201&amp;"|"&amp;T1201)</f>
        <v/>
      </c>
    </row>
    <row r="1202" customFormat="false" ht="15" hidden="false" customHeight="false" outlineLevel="0" collapsed="false">
      <c r="T1202" s="1" t="str">
        <f aca="false">IF($E1202="","",COUNTIF($E$2:$E1202,$E1202))</f>
        <v/>
      </c>
      <c r="U1202" s="1" t="str">
        <f aca="false">IF($E1202="","",$E1202&amp;"|"&amp;T1202)</f>
        <v/>
      </c>
    </row>
    <row r="1203" customFormat="false" ht="15" hidden="false" customHeight="false" outlineLevel="0" collapsed="false">
      <c r="T1203" s="1" t="str">
        <f aca="false">IF($E1203="","",COUNTIF($E$2:$E1203,$E1203))</f>
        <v/>
      </c>
      <c r="U1203" s="1" t="str">
        <f aca="false">IF($E1203="","",$E1203&amp;"|"&amp;T1203)</f>
        <v/>
      </c>
    </row>
    <row r="1204" customFormat="false" ht="15" hidden="false" customHeight="false" outlineLevel="0" collapsed="false">
      <c r="T1204" s="1" t="str">
        <f aca="false">IF($E1204="","",COUNTIF($E$2:$E1204,$E1204))</f>
        <v/>
      </c>
      <c r="U1204" s="1" t="str">
        <f aca="false">IF($E1204="","",$E1204&amp;"|"&amp;T1204)</f>
        <v/>
      </c>
    </row>
    <row r="1205" customFormat="false" ht="15" hidden="false" customHeight="false" outlineLevel="0" collapsed="false">
      <c r="T1205" s="1" t="str">
        <f aca="false">IF($E1205="","",COUNTIF($E$2:$E1205,$E1205))</f>
        <v/>
      </c>
      <c r="U1205" s="1" t="str">
        <f aca="false">IF($E1205="","",$E1205&amp;"|"&amp;T1205)</f>
        <v/>
      </c>
    </row>
    <row r="1206" customFormat="false" ht="15" hidden="false" customHeight="false" outlineLevel="0" collapsed="false">
      <c r="T1206" s="1" t="str">
        <f aca="false">IF($E1206="","",COUNTIF($E$2:$E1206,$E1206))</f>
        <v/>
      </c>
      <c r="U1206" s="1" t="str">
        <f aca="false">IF($E1206="","",$E1206&amp;"|"&amp;T1206)</f>
        <v/>
      </c>
    </row>
    <row r="1207" customFormat="false" ht="15" hidden="false" customHeight="false" outlineLevel="0" collapsed="false">
      <c r="T1207" s="1" t="str">
        <f aca="false">IF($E1207="","",COUNTIF($E$2:$E1207,$E1207))</f>
        <v/>
      </c>
      <c r="U1207" s="1" t="str">
        <f aca="false">IF($E1207="","",$E1207&amp;"|"&amp;T1207)</f>
        <v/>
      </c>
    </row>
    <row r="1208" customFormat="false" ht="15" hidden="false" customHeight="false" outlineLevel="0" collapsed="false">
      <c r="T1208" s="1" t="str">
        <f aca="false">IF($E1208="","",COUNTIF($E$2:$E1208,$E1208))</f>
        <v/>
      </c>
      <c r="U1208" s="1" t="str">
        <f aca="false">IF($E1208="","",$E1208&amp;"|"&amp;T1208)</f>
        <v/>
      </c>
    </row>
    <row r="1209" customFormat="false" ht="15" hidden="false" customHeight="false" outlineLevel="0" collapsed="false">
      <c r="T1209" s="1" t="str">
        <f aca="false">IF($E1209="","",COUNTIF($E$2:$E1209,$E1209))</f>
        <v/>
      </c>
      <c r="U1209" s="1" t="str">
        <f aca="false">IF($E1209="","",$E1209&amp;"|"&amp;T1209)</f>
        <v/>
      </c>
    </row>
    <row r="1210" customFormat="false" ht="15" hidden="false" customHeight="false" outlineLevel="0" collapsed="false">
      <c r="T1210" s="1" t="str">
        <f aca="false">IF($E1210="","",COUNTIF($E$2:$E1210,$E1210))</f>
        <v/>
      </c>
      <c r="U1210" s="1" t="str">
        <f aca="false">IF($E1210="","",$E1210&amp;"|"&amp;T1210)</f>
        <v/>
      </c>
    </row>
    <row r="1211" customFormat="false" ht="15" hidden="false" customHeight="false" outlineLevel="0" collapsed="false">
      <c r="T1211" s="1" t="str">
        <f aca="false">IF($E1211="","",COUNTIF($E$2:$E1211,$E1211))</f>
        <v/>
      </c>
      <c r="U1211" s="1" t="str">
        <f aca="false">IF($E1211="","",$E1211&amp;"|"&amp;T1211)</f>
        <v/>
      </c>
    </row>
    <row r="1212" customFormat="false" ht="15" hidden="false" customHeight="false" outlineLevel="0" collapsed="false">
      <c r="T1212" s="1" t="str">
        <f aca="false">IF($E1212="","",COUNTIF($E$2:$E1212,$E1212))</f>
        <v/>
      </c>
      <c r="U1212" s="1" t="str">
        <f aca="false">IF($E1212="","",$E1212&amp;"|"&amp;T1212)</f>
        <v/>
      </c>
    </row>
    <row r="1213" customFormat="false" ht="15" hidden="false" customHeight="false" outlineLevel="0" collapsed="false">
      <c r="T1213" s="1" t="str">
        <f aca="false">IF($E1213="","",COUNTIF($E$2:$E1213,$E1213))</f>
        <v/>
      </c>
      <c r="U1213" s="1" t="str">
        <f aca="false">IF($E1213="","",$E1213&amp;"|"&amp;T1213)</f>
        <v/>
      </c>
    </row>
    <row r="1214" customFormat="false" ht="15" hidden="false" customHeight="false" outlineLevel="0" collapsed="false">
      <c r="T1214" s="1" t="str">
        <f aca="false">IF($E1214="","",COUNTIF($E$2:$E1214,$E1214))</f>
        <v/>
      </c>
      <c r="U1214" s="1" t="str">
        <f aca="false">IF($E1214="","",$E1214&amp;"|"&amp;T1214)</f>
        <v/>
      </c>
    </row>
    <row r="1215" customFormat="false" ht="15" hidden="false" customHeight="false" outlineLevel="0" collapsed="false">
      <c r="T1215" s="1" t="str">
        <f aca="false">IF($E1215="","",COUNTIF($E$2:$E1215,$E1215))</f>
        <v/>
      </c>
      <c r="U1215" s="1" t="str">
        <f aca="false">IF($E1215="","",$E1215&amp;"|"&amp;T1215)</f>
        <v/>
      </c>
    </row>
    <row r="1216" customFormat="false" ht="15" hidden="false" customHeight="false" outlineLevel="0" collapsed="false">
      <c r="T1216" s="1" t="str">
        <f aca="false">IF($E1216="","",COUNTIF($E$2:$E1216,$E1216))</f>
        <v/>
      </c>
      <c r="U1216" s="1" t="str">
        <f aca="false">IF($E1216="","",$E1216&amp;"|"&amp;T1216)</f>
        <v/>
      </c>
    </row>
    <row r="1217" customFormat="false" ht="15" hidden="false" customHeight="false" outlineLevel="0" collapsed="false">
      <c r="T1217" s="1" t="str">
        <f aca="false">IF($E1217="","",COUNTIF($E$2:$E1217,$E1217))</f>
        <v/>
      </c>
      <c r="U1217" s="1" t="str">
        <f aca="false">IF($E1217="","",$E1217&amp;"|"&amp;T1217)</f>
        <v/>
      </c>
    </row>
    <row r="1218" customFormat="false" ht="15" hidden="false" customHeight="false" outlineLevel="0" collapsed="false">
      <c r="T1218" s="1" t="str">
        <f aca="false">IF($E1218="","",COUNTIF($E$2:$E1218,$E1218))</f>
        <v/>
      </c>
      <c r="U1218" s="1" t="str">
        <f aca="false">IF($E1218="","",$E1218&amp;"|"&amp;T1218)</f>
        <v/>
      </c>
    </row>
  </sheetData>
  <autoFilter ref="A1:R218"/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E59EDD"/>
    <pageSetUpPr fitToPage="false"/>
  </sheetPr>
  <dimension ref="B2:J21"/>
  <sheetViews>
    <sheetView showFormulas="false" showGridLines="true" showRowColHeaders="true" showZeros="true" rightToLeft="false" tabSelected="false" showOutlineSymbols="true" defaultGridColor="true" view="normal" topLeftCell="A2" colorId="64" zoomScale="100" zoomScaleNormal="100" zoomScalePageLayoutView="100" workbookViewId="0">
      <selection pane="topLeft" activeCell="F11" activeCellId="0" sqref="F11"/>
    </sheetView>
  </sheetViews>
  <sheetFormatPr defaultColWidth="10.5390625" defaultRowHeight="15" zeroHeight="false" outlineLevelRow="0" outlineLevelCol="0"/>
  <cols>
    <col collapsed="false" customWidth="true" hidden="false" outlineLevel="0" max="2" min="2" style="1" width="15.29"/>
    <col collapsed="false" customWidth="true" hidden="false" outlineLevel="0" max="4" min="4" style="1" width="13"/>
  </cols>
  <sheetData>
    <row r="2" customFormat="false" ht="15" hidden="false" customHeight="false" outlineLevel="0" collapsed="false">
      <c r="B2" s="1" t="s">
        <v>282</v>
      </c>
      <c r="D2" s="1" t="s">
        <v>283</v>
      </c>
      <c r="F2" s="1" t="s">
        <v>284</v>
      </c>
      <c r="H2" s="1" t="s">
        <v>285</v>
      </c>
      <c r="I2" s="94"/>
      <c r="J2" s="3" t="s">
        <v>286</v>
      </c>
    </row>
    <row r="3" customFormat="false" ht="15" hidden="false" customHeight="false" outlineLevel="0" collapsed="false">
      <c r="B3" s="95" t="s">
        <v>7</v>
      </c>
      <c r="D3" s="95" t="s">
        <v>60</v>
      </c>
      <c r="F3" s="95" t="s">
        <v>42</v>
      </c>
      <c r="H3" s="95" t="s">
        <v>47</v>
      </c>
      <c r="I3" s="6"/>
      <c r="J3" s="96" t="n">
        <v>0.229166666666667</v>
      </c>
    </row>
    <row r="4" customFormat="false" ht="15" hidden="false" customHeight="false" outlineLevel="0" collapsed="false">
      <c r="B4" s="95" t="s">
        <v>62</v>
      </c>
      <c r="D4" s="95" t="s">
        <v>106</v>
      </c>
      <c r="F4" s="95" t="s">
        <v>287</v>
      </c>
      <c r="H4" s="95" t="s">
        <v>52</v>
      </c>
      <c r="I4" s="6"/>
      <c r="J4" s="96" t="n">
        <v>0.25</v>
      </c>
    </row>
    <row r="5" customFormat="false" ht="15" hidden="false" customHeight="false" outlineLevel="0" collapsed="false">
      <c r="B5" s="95" t="s">
        <v>187</v>
      </c>
      <c r="D5" s="95" t="s">
        <v>288</v>
      </c>
      <c r="H5" s="94"/>
      <c r="I5" s="6"/>
      <c r="J5" s="96" t="n">
        <v>0.291666666666667</v>
      </c>
    </row>
    <row r="6" customFormat="false" ht="15" hidden="false" customHeight="false" outlineLevel="0" collapsed="false">
      <c r="B6" s="95" t="s">
        <v>64</v>
      </c>
      <c r="D6" s="95" t="s">
        <v>289</v>
      </c>
      <c r="I6" s="6"/>
      <c r="J6" s="96" t="n">
        <v>0.333333333333333</v>
      </c>
    </row>
    <row r="7" customFormat="false" ht="15" hidden="false" customHeight="false" outlineLevel="0" collapsed="false">
      <c r="B7" s="95" t="s">
        <v>290</v>
      </c>
      <c r="D7" s="95" t="s">
        <v>41</v>
      </c>
      <c r="I7" s="6"/>
      <c r="J7" s="96" t="n">
        <v>0.375</v>
      </c>
    </row>
    <row r="8" customFormat="false" ht="15" hidden="false" customHeight="false" outlineLevel="0" collapsed="false">
      <c r="D8" s="95" t="s">
        <v>279</v>
      </c>
      <c r="I8" s="6"/>
      <c r="J8" s="96" t="n">
        <v>0.416666666666667</v>
      </c>
    </row>
    <row r="9" customFormat="false" ht="15" hidden="false" customHeight="false" outlineLevel="0" collapsed="false">
      <c r="I9" s="6"/>
      <c r="J9" s="96" t="n">
        <v>0.458333333333333</v>
      </c>
    </row>
    <row r="10" customFormat="false" ht="15" hidden="false" customHeight="false" outlineLevel="0" collapsed="false">
      <c r="I10" s="6"/>
      <c r="J10" s="96" t="n">
        <v>0.5</v>
      </c>
    </row>
    <row r="11" customFormat="false" ht="15" hidden="false" customHeight="false" outlineLevel="0" collapsed="false">
      <c r="I11" s="6"/>
      <c r="J11" s="96" t="n">
        <v>0.541666666666667</v>
      </c>
    </row>
    <row r="12" customFormat="false" ht="15" hidden="false" customHeight="false" outlineLevel="0" collapsed="false">
      <c r="J12" s="97" t="n">
        <v>0.583333333333333</v>
      </c>
    </row>
    <row r="13" customFormat="false" ht="15" hidden="false" customHeight="false" outlineLevel="0" collapsed="false">
      <c r="J13" s="97" t="n">
        <v>0.625</v>
      </c>
    </row>
    <row r="14" customFormat="false" ht="15" hidden="false" customHeight="false" outlineLevel="0" collapsed="false">
      <c r="J14" s="97" t="n">
        <v>0.666666666666667</v>
      </c>
    </row>
    <row r="15" customFormat="false" ht="15" hidden="false" customHeight="false" outlineLevel="0" collapsed="false">
      <c r="J15" s="97" t="n">
        <v>0.708333333333333</v>
      </c>
    </row>
    <row r="16" customFormat="false" ht="15" hidden="false" customHeight="false" outlineLevel="0" collapsed="false">
      <c r="J16" s="97" t="n">
        <v>0.75</v>
      </c>
    </row>
    <row r="17" customFormat="false" ht="15" hidden="false" customHeight="false" outlineLevel="0" collapsed="false">
      <c r="J17" s="97" t="n">
        <v>0.791666666666667</v>
      </c>
    </row>
    <row r="18" customFormat="false" ht="15" hidden="false" customHeight="false" outlineLevel="0" collapsed="false">
      <c r="J18" s="97" t="n">
        <v>0.833333333333333</v>
      </c>
    </row>
    <row r="19" customFormat="false" ht="15" hidden="false" customHeight="false" outlineLevel="0" collapsed="false">
      <c r="J19" s="97" t="n">
        <v>0.875</v>
      </c>
    </row>
    <row r="20" customFormat="false" ht="15" hidden="false" customHeight="false" outlineLevel="0" collapsed="false">
      <c r="J20" s="97" t="n">
        <v>0.916666666666667</v>
      </c>
    </row>
    <row r="21" customFormat="false" ht="15" hidden="false" customHeight="false" outlineLevel="0" collapsed="false">
      <c r="J21" s="97" t="n">
        <v>0.958333333333333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G2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0.5390625" defaultRowHeight="15" zeroHeight="false" outlineLevelRow="0" outlineLevelCol="0"/>
  <cols>
    <col collapsed="false" customWidth="true" hidden="false" outlineLevel="0" max="2" min="2" style="1" width="17.14"/>
    <col collapsed="false" customWidth="true" hidden="false" outlineLevel="0" max="3" min="3" style="1" width="13.86"/>
    <col collapsed="false" customWidth="true" hidden="false" outlineLevel="0" max="6" min="6" style="1" width="12.72"/>
  </cols>
  <sheetData>
    <row r="2" customFormat="false" ht="15.75" hidden="false" customHeight="true" outlineLevel="0" collapsed="false">
      <c r="B2" s="98" t="n">
        <v>46118</v>
      </c>
    </row>
    <row r="3" customFormat="false" ht="16.5" hidden="false" customHeight="true" outlineLevel="0" collapsed="false">
      <c r="B3" s="99" t="s">
        <v>291</v>
      </c>
      <c r="C3" s="99"/>
      <c r="D3" s="99"/>
      <c r="E3" s="99"/>
      <c r="F3" s="99"/>
      <c r="G3" s="99"/>
    </row>
    <row r="4" customFormat="false" ht="16.5" hidden="false" customHeight="true" outlineLevel="0" collapsed="false">
      <c r="B4" s="100"/>
      <c r="C4" s="101" t="s">
        <v>292</v>
      </c>
      <c r="D4" s="101" t="s">
        <v>293</v>
      </c>
      <c r="E4" s="101" t="s">
        <v>294</v>
      </c>
      <c r="F4" s="102" t="s">
        <v>295</v>
      </c>
      <c r="G4" s="103" t="n">
        <v>46174</v>
      </c>
    </row>
    <row r="5" customFormat="false" ht="16.5" hidden="false" customHeight="true" outlineLevel="0" collapsed="false">
      <c r="B5" s="104" t="s">
        <v>7</v>
      </c>
      <c r="C5" s="105" t="n">
        <v>0.9</v>
      </c>
      <c r="D5" s="105" t="n">
        <v>0.905</v>
      </c>
      <c r="E5" s="105" t="n">
        <v>0.915</v>
      </c>
      <c r="F5" s="106" t="n">
        <v>0.91</v>
      </c>
      <c r="G5" s="107" t="n">
        <v>1008</v>
      </c>
    </row>
    <row r="6" customFormat="false" ht="16.5" hidden="false" customHeight="true" outlineLevel="0" collapsed="false">
      <c r="B6" s="104" t="s">
        <v>62</v>
      </c>
      <c r="C6" s="105" t="n">
        <v>0.915</v>
      </c>
      <c r="D6" s="105" t="n">
        <v>0.89</v>
      </c>
      <c r="E6" s="105" t="n">
        <v>0.925</v>
      </c>
      <c r="F6" s="106" t="n">
        <v>0.91</v>
      </c>
      <c r="G6" s="108" t="n">
        <v>995</v>
      </c>
    </row>
    <row r="7" customFormat="false" ht="16.5" hidden="false" customHeight="true" outlineLevel="0" collapsed="false">
      <c r="B7" s="104" t="s">
        <v>187</v>
      </c>
      <c r="C7" s="105" t="n">
        <v>0.635</v>
      </c>
      <c r="D7" s="105" t="n">
        <v>0.635</v>
      </c>
      <c r="E7" s="105" t="n">
        <v>0.64</v>
      </c>
      <c r="F7" s="106" t="n">
        <v>0.64</v>
      </c>
      <c r="G7" s="107" t="n">
        <v>795</v>
      </c>
    </row>
    <row r="8" customFormat="false" ht="16.5" hidden="false" customHeight="true" outlineLevel="0" collapsed="false">
      <c r="B8" s="104" t="s">
        <v>64</v>
      </c>
      <c r="C8" s="105" t="n">
        <v>0.885</v>
      </c>
      <c r="D8" s="105" t="n">
        <v>0.875</v>
      </c>
      <c r="E8" s="105" t="n">
        <v>0.885</v>
      </c>
      <c r="F8" s="106" t="n">
        <v>0.88</v>
      </c>
      <c r="G8" s="107" t="n">
        <v>985</v>
      </c>
    </row>
    <row r="9" customFormat="false" ht="16.5" hidden="false" customHeight="true" outlineLevel="0" collapsed="false">
      <c r="B9" s="109" t="s">
        <v>290</v>
      </c>
      <c r="C9" s="105" t="n">
        <v>0.9</v>
      </c>
      <c r="D9" s="105" t="n">
        <v>0.905</v>
      </c>
      <c r="E9" s="105" t="n">
        <v>0.915</v>
      </c>
      <c r="F9" s="106" t="n">
        <v>0.91</v>
      </c>
      <c r="G9" s="108" t="n">
        <v>985</v>
      </c>
    </row>
    <row r="11" customFormat="false" ht="15" hidden="true" customHeight="false" outlineLevel="0" collapsed="false">
      <c r="B11" s="21" t="s">
        <v>296</v>
      </c>
      <c r="C11" s="14"/>
      <c r="D11" s="14"/>
      <c r="E11" s="14"/>
      <c r="F11" s="14" t="s">
        <v>297</v>
      </c>
      <c r="G11" s="110" t="n">
        <v>46169</v>
      </c>
    </row>
    <row r="12" customFormat="false" ht="15" hidden="true" customHeight="false" outlineLevel="0" collapsed="false">
      <c r="B12" s="14"/>
      <c r="C12" s="14"/>
      <c r="D12" s="14"/>
      <c r="E12" s="14"/>
      <c r="F12" s="14"/>
      <c r="G12" s="14"/>
    </row>
    <row r="13" customFormat="false" ht="15" hidden="true" customHeight="false" outlineLevel="0" collapsed="false">
      <c r="B13" s="14" t="s">
        <v>298</v>
      </c>
      <c r="C13" s="14"/>
      <c r="D13" s="14" t="s">
        <v>5</v>
      </c>
      <c r="E13" s="14" t="s">
        <v>299</v>
      </c>
      <c r="F13" s="14" t="s">
        <v>300</v>
      </c>
      <c r="G13" s="14" t="s">
        <v>301</v>
      </c>
    </row>
    <row r="14" customFormat="false" ht="15" hidden="true" customHeight="false" outlineLevel="0" collapsed="false">
      <c r="B14" s="14" t="n">
        <v>10</v>
      </c>
      <c r="C14" s="111" t="s">
        <v>302</v>
      </c>
      <c r="D14" s="111" t="n">
        <v>1025</v>
      </c>
      <c r="E14" s="112" t="n">
        <f aca="false">+D14*0.97</f>
        <v>994.25</v>
      </c>
      <c r="F14" s="112" t="n">
        <f aca="false">+D14*1.03</f>
        <v>1055.75</v>
      </c>
      <c r="G14" s="111" t="n">
        <v>2</v>
      </c>
    </row>
    <row r="15" customFormat="false" ht="15" hidden="true" customHeight="false" outlineLevel="0" collapsed="false">
      <c r="B15" s="113" t="n">
        <v>13</v>
      </c>
      <c r="C15" s="111" t="s">
        <v>303</v>
      </c>
      <c r="D15" s="111" t="n">
        <v>995</v>
      </c>
      <c r="E15" s="112" t="n">
        <f aca="false">+D15*0.97</f>
        <v>965.15</v>
      </c>
      <c r="F15" s="112" t="n">
        <f aca="false">+D15*1.03</f>
        <v>1024.85</v>
      </c>
      <c r="G15" s="111" t="n">
        <v>2</v>
      </c>
    </row>
    <row r="16" customFormat="false" ht="15" hidden="true" customHeight="false" outlineLevel="0" collapsed="false">
      <c r="B16" s="14" t="n">
        <v>12</v>
      </c>
      <c r="C16" s="114" t="s">
        <v>304</v>
      </c>
      <c r="D16" s="114" t="n">
        <v>1000</v>
      </c>
      <c r="E16" s="115" t="n">
        <f aca="false">+D16*0.97</f>
        <v>970</v>
      </c>
      <c r="F16" s="115" t="n">
        <f aca="false">+D16*1.03</f>
        <v>1030</v>
      </c>
      <c r="G16" s="114" t="n">
        <v>2.173</v>
      </c>
    </row>
    <row r="17" customFormat="false" ht="15" hidden="true" customHeight="false" outlineLevel="0" collapsed="false">
      <c r="B17" s="14" t="n">
        <v>11</v>
      </c>
      <c r="C17" s="114" t="s">
        <v>305</v>
      </c>
      <c r="D17" s="114" t="n">
        <v>985</v>
      </c>
      <c r="E17" s="115" t="n">
        <f aca="false">+D17*0.97</f>
        <v>955.45</v>
      </c>
      <c r="F17" s="115" t="n">
        <f aca="false">+D17*1.03</f>
        <v>1014.55</v>
      </c>
      <c r="G17" s="114" t="n">
        <v>2</v>
      </c>
    </row>
    <row r="18" customFormat="false" ht="15" hidden="true" customHeight="false" outlineLevel="0" collapsed="false"/>
    <row r="19" customFormat="false" ht="15" hidden="true" customHeight="false" outlineLevel="0" collapsed="false"/>
    <row r="20" customFormat="false" ht="15" hidden="true" customHeight="false" outlineLevel="0" collapsed="false">
      <c r="B20" s="14"/>
      <c r="C20" s="14"/>
      <c r="D20" s="14"/>
      <c r="E20" s="14"/>
      <c r="F20" s="14"/>
      <c r="G20" s="14"/>
    </row>
    <row r="21" customFormat="false" ht="15" hidden="true" customHeight="false" outlineLevel="0" collapsed="false">
      <c r="A21" s="111" t="s">
        <v>306</v>
      </c>
      <c r="C21" s="112" t="s">
        <v>7</v>
      </c>
      <c r="D21" s="111" t="n">
        <f aca="false">+AVERAGE(D14:D15)</f>
        <v>1010</v>
      </c>
      <c r="E21" s="112" t="n">
        <f aca="false">+AVERAGE(E14:E15)</f>
        <v>979.7</v>
      </c>
      <c r="F21" s="112" t="n">
        <f aca="false">+AVERAGE(F14:F15)</f>
        <v>1040.3</v>
      </c>
      <c r="G21" s="111" t="n">
        <v>2</v>
      </c>
    </row>
    <row r="22" customFormat="false" ht="15" hidden="true" customHeight="false" outlineLevel="0" collapsed="false">
      <c r="A22" s="114" t="s">
        <v>307</v>
      </c>
      <c r="C22" s="115" t="s">
        <v>62</v>
      </c>
      <c r="D22" s="115" t="n">
        <f aca="false">+AVERAGE(D16:D17)</f>
        <v>992.5</v>
      </c>
      <c r="E22" s="115" t="n">
        <f aca="false">+AVERAGE(E16:E17)</f>
        <v>962.725</v>
      </c>
      <c r="F22" s="115" t="n">
        <f aca="false">+AVERAGE(F16:F17)</f>
        <v>1022.275</v>
      </c>
      <c r="G22" s="116" t="n">
        <f aca="false">+AVERAGE(G16:G17)</f>
        <v>2.0865</v>
      </c>
    </row>
    <row r="23" customFormat="false" ht="15" hidden="true" customHeight="false" outlineLevel="0" collapsed="false">
      <c r="B23" s="113" t="n">
        <f aca="false">+B15</f>
        <v>13</v>
      </c>
      <c r="C23" s="117" t="s">
        <v>64</v>
      </c>
      <c r="D23" s="117" t="n">
        <f aca="false">+D15</f>
        <v>995</v>
      </c>
      <c r="E23" s="118" t="n">
        <f aca="false">+D23*0.97</f>
        <v>965.15</v>
      </c>
      <c r="F23" s="118" t="n">
        <f aca="false">+D23*1.03</f>
        <v>1024.85</v>
      </c>
      <c r="G23" s="117" t="n">
        <v>2</v>
      </c>
    </row>
    <row r="24" customFormat="false" ht="15" hidden="true" customHeight="false" outlineLevel="0" collapsed="false">
      <c r="B24" s="14" t="n">
        <v>14</v>
      </c>
      <c r="C24" s="119" t="s">
        <v>187</v>
      </c>
      <c r="D24" s="119" t="n">
        <v>750</v>
      </c>
      <c r="E24" s="120" t="n">
        <f aca="false">+D24*0.97</f>
        <v>727.5</v>
      </c>
      <c r="F24" s="120" t="n">
        <f aca="false">+D24*1.03</f>
        <v>772.5</v>
      </c>
      <c r="G24" s="119" t="n">
        <v>2</v>
      </c>
    </row>
    <row r="25" customFormat="false" ht="15" hidden="true" customHeight="false" outlineLevel="0" collapsed="false">
      <c r="C25" s="109" t="s">
        <v>290</v>
      </c>
      <c r="D25" s="112" t="n">
        <f aca="false">+D21</f>
        <v>1010</v>
      </c>
      <c r="E25" s="112" t="n">
        <f aca="false">+E21</f>
        <v>979.7</v>
      </c>
      <c r="F25" s="112" t="n">
        <f aca="false">+F21</f>
        <v>1040.3</v>
      </c>
      <c r="G25" s="112" t="n">
        <f aca="false">+G21</f>
        <v>2</v>
      </c>
    </row>
  </sheetData>
  <sheetProtection algorithmName="SHA-512" hashValue="6ezxp+uQN2FkB79RZaHvM/YfofXCZQdusfbiwMJvoaDUkLpV9mcLNfHKkbq7MMm3T0VDrPjB9BZ4GzvAh58hPQ==" saltValue="g11ypK0sijPtWMqlivQ3AA==" spinCount="100000" sheet="true" objects="true" scenarios="true"/>
  <mergeCells count="1">
    <mergeCell ref="B3:G3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2026-04-06T13:53:50Z</dcterms:created>
  <dc:creator>Lucas Benitez</dc:creator>
  <dc:description/>
  <dc:language>en-US</dc:language>
  <cp:lastModifiedBy/>
  <cp:lastPrinted>2026-05-29T15:59:32Z</cp:lastPrinted>
  <dcterms:modified xsi:type="dcterms:W3CDTF">2026-09-22T10:51:42Z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