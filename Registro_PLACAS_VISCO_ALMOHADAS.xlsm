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1"/>
  <mc:AlternateContent xmlns:mc="http://schemas.openxmlformats.org/markup-compatibility/2006">
    <mc:Choice Requires="x15">
      <x15ac:absPath xmlns:x15ac="http://schemas.microsoft.com/office/spreadsheetml/2010/11/ac" url="https://grupopiero-my.sharepoint.com/personal/lbenitez_bitali_com/Documents/Informacion con Backup/ALMOHADAS/SCRAP MENSUAL/"/>
    </mc:Choice>
  </mc:AlternateContent>
  <xr:revisionPtr revIDLastSave="2" documentId="13_ncr:1_{785997E7-1311-4A66-BE44-48D9CDB7C9A1}" xr6:coauthVersionLast="47" xr6:coauthVersionMax="47" xr10:uidLastSave="{829E71DC-D66F-4B36-B4BB-A4ADDEAB96CE}"/>
  <bookViews>
    <workbookView xWindow="-120" yWindow="-120" windowWidth="20730" windowHeight="11040" tabRatio="500" activeTab="1" xr2:uid="{00000000-000D-0000-FFFF-FFFF00000000}"/>
  </bookViews>
  <sheets>
    <sheet name="GRÁFICO" sheetId="1" r:id="rId1"/>
    <sheet name="CTRL_PESO_VISUAL" sheetId="2" r:id="rId2"/>
    <sheet name="TABLA-PCPAL" sheetId="3" r:id="rId3"/>
    <sheet name="LISTADOS" sheetId="4" state="hidden" r:id="rId4"/>
    <sheet name="PESOS STD" sheetId="5" state="hidden" r:id="rId5"/>
  </sheets>
  <definedNames>
    <definedName name="_xlnm._FilterDatabase" localSheetId="2" hidden="1">'TABLA-PCPAL'!$A$1:$R$218</definedName>
    <definedName name="_xlnm.Print_Area" localSheetId="1">CTRL_PESO_VISUAL!$B$1:$M$25</definedName>
    <definedName name="Graf_LCI" localSheetId="0">OFFSET(GRÁFICO!$AA$2,0,3,MAX(1,GRÁFICO!$X$3),1)</definedName>
    <definedName name="Graf_LCS" localSheetId="0">OFFSET(GRÁFICO!$AA$2,0,2,MAX(1,GRÁFICO!$X$3),1)</definedName>
    <definedName name="Graf_N" localSheetId="0">OFFSET(GRÁFICO!$AA$2,0,0,MAX(1,GRÁFICO!$X$3),1)</definedName>
    <definedName name="Graf_Nominal" localSheetId="0">OFFSET(GRÁFICO!$AA$2,0,4,MAX(1,GRÁFICO!$X$3),1)</definedName>
    <definedName name="Graf_Peso" localSheetId="0">OFFSET(GRÁFICO!$AA$2,0,1,MAX(1,GRÁFICO!$X$3),1)</definedName>
    <definedName name="TM">LISTADOS!$J$3:$J$11</definedName>
    <definedName name="TT">LISTADOS!$J$12:$J$21</definedName>
  </definedNames>
  <calcPr calcId="191029" iterateDelta="1E-4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9" i="2" l="1"/>
  <c r="G25" i="5" l="1"/>
  <c r="F24" i="5"/>
  <c r="E24" i="5"/>
  <c r="F23" i="5"/>
  <c r="E23" i="5"/>
  <c r="D23" i="5"/>
  <c r="B23" i="5"/>
  <c r="G22" i="5"/>
  <c r="D22" i="5"/>
  <c r="D21" i="5"/>
  <c r="D25" i="5" s="1"/>
  <c r="F17" i="5"/>
  <c r="E17" i="5"/>
  <c r="F16" i="5"/>
  <c r="F22" i="5" s="1"/>
  <c r="E16" i="5"/>
  <c r="E22" i="5" s="1"/>
  <c r="F15" i="5"/>
  <c r="E15" i="5"/>
  <c r="E21" i="5" s="1"/>
  <c r="E25" i="5" s="1"/>
  <c r="F14" i="5"/>
  <c r="F21" i="5" s="1"/>
  <c r="F25" i="5" s="1"/>
  <c r="E14" i="5"/>
  <c r="U1218" i="3"/>
  <c r="T1218" i="3"/>
  <c r="U1217" i="3"/>
  <c r="T1217" i="3"/>
  <c r="U1216" i="3"/>
  <c r="T1216" i="3"/>
  <c r="U1215" i="3"/>
  <c r="T1215" i="3"/>
  <c r="U1214" i="3"/>
  <c r="T1214" i="3"/>
  <c r="U1213" i="3"/>
  <c r="T1213" i="3"/>
  <c r="U1212" i="3"/>
  <c r="T1212" i="3"/>
  <c r="U1211" i="3"/>
  <c r="T1211" i="3"/>
  <c r="U1210" i="3"/>
  <c r="T1210" i="3"/>
  <c r="U1209" i="3"/>
  <c r="T1209" i="3"/>
  <c r="U1208" i="3"/>
  <c r="T1208" i="3"/>
  <c r="U1207" i="3"/>
  <c r="T1207" i="3"/>
  <c r="U1206" i="3"/>
  <c r="T1206" i="3"/>
  <c r="U1205" i="3"/>
  <c r="T1205" i="3"/>
  <c r="U1204" i="3"/>
  <c r="T1204" i="3"/>
  <c r="U1203" i="3"/>
  <c r="T1203" i="3"/>
  <c r="U1202" i="3"/>
  <c r="T1202" i="3"/>
  <c r="U1201" i="3"/>
  <c r="T1201" i="3"/>
  <c r="U1200" i="3"/>
  <c r="T1200" i="3"/>
  <c r="U1199" i="3"/>
  <c r="T1199" i="3"/>
  <c r="U1198" i="3"/>
  <c r="T1198" i="3"/>
  <c r="U1197" i="3"/>
  <c r="T1197" i="3"/>
  <c r="U1196" i="3"/>
  <c r="T1196" i="3"/>
  <c r="U1195" i="3"/>
  <c r="T1195" i="3"/>
  <c r="U1194" i="3"/>
  <c r="T1194" i="3"/>
  <c r="U1193" i="3"/>
  <c r="T1193" i="3"/>
  <c r="U1192" i="3"/>
  <c r="T1192" i="3"/>
  <c r="U1191" i="3"/>
  <c r="T1191" i="3"/>
  <c r="U1190" i="3"/>
  <c r="T1190" i="3"/>
  <c r="U1189" i="3"/>
  <c r="T1189" i="3"/>
  <c r="U1188" i="3"/>
  <c r="T1188" i="3"/>
  <c r="U1187" i="3"/>
  <c r="T1187" i="3"/>
  <c r="U1186" i="3"/>
  <c r="T1186" i="3"/>
  <c r="U1185" i="3"/>
  <c r="T1185" i="3"/>
  <c r="U1184" i="3"/>
  <c r="T1184" i="3"/>
  <c r="U1183" i="3"/>
  <c r="T1183" i="3"/>
  <c r="U1182" i="3"/>
  <c r="T1182" i="3"/>
  <c r="U1181" i="3"/>
  <c r="T1181" i="3"/>
  <c r="U1180" i="3"/>
  <c r="T1180" i="3"/>
  <c r="U1179" i="3"/>
  <c r="T1179" i="3"/>
  <c r="U1178" i="3"/>
  <c r="T1178" i="3"/>
  <c r="U1177" i="3"/>
  <c r="T1177" i="3"/>
  <c r="U1176" i="3"/>
  <c r="T1176" i="3"/>
  <c r="U1175" i="3"/>
  <c r="T1175" i="3"/>
  <c r="U1174" i="3"/>
  <c r="T1174" i="3"/>
  <c r="U1173" i="3"/>
  <c r="T1173" i="3"/>
  <c r="U1172" i="3"/>
  <c r="T1172" i="3"/>
  <c r="U1171" i="3"/>
  <c r="T1171" i="3"/>
  <c r="U1170" i="3"/>
  <c r="T1170" i="3"/>
  <c r="U1169" i="3"/>
  <c r="T1169" i="3"/>
  <c r="U1168" i="3"/>
  <c r="T1168" i="3"/>
  <c r="U1167" i="3"/>
  <c r="T1167" i="3"/>
  <c r="U1166" i="3"/>
  <c r="T1166" i="3"/>
  <c r="U1165" i="3"/>
  <c r="T1165" i="3"/>
  <c r="U1164" i="3"/>
  <c r="T1164" i="3"/>
  <c r="U1163" i="3"/>
  <c r="T1163" i="3"/>
  <c r="U1162" i="3"/>
  <c r="T1162" i="3"/>
  <c r="U1161" i="3"/>
  <c r="T1161" i="3"/>
  <c r="U1160" i="3"/>
  <c r="T1160" i="3"/>
  <c r="U1159" i="3"/>
  <c r="T1159" i="3"/>
  <c r="U1158" i="3"/>
  <c r="T1158" i="3"/>
  <c r="U1157" i="3"/>
  <c r="T1157" i="3"/>
  <c r="U1156" i="3"/>
  <c r="T1156" i="3"/>
  <c r="U1155" i="3"/>
  <c r="T1155" i="3"/>
  <c r="U1154" i="3"/>
  <c r="T1154" i="3"/>
  <c r="U1153" i="3"/>
  <c r="T1153" i="3"/>
  <c r="U1152" i="3"/>
  <c r="T1152" i="3"/>
  <c r="U1151" i="3"/>
  <c r="T1151" i="3"/>
  <c r="U1150" i="3"/>
  <c r="T1150" i="3"/>
  <c r="U1149" i="3"/>
  <c r="T1149" i="3"/>
  <c r="U1148" i="3"/>
  <c r="T1148" i="3"/>
  <c r="U1147" i="3"/>
  <c r="T1147" i="3"/>
  <c r="U1146" i="3"/>
  <c r="T1146" i="3"/>
  <c r="U1145" i="3"/>
  <c r="T1145" i="3"/>
  <c r="U1144" i="3"/>
  <c r="T1144" i="3"/>
  <c r="U1143" i="3"/>
  <c r="T1143" i="3"/>
  <c r="U1142" i="3"/>
  <c r="T1142" i="3"/>
  <c r="U1141" i="3"/>
  <c r="T1141" i="3"/>
  <c r="U1140" i="3"/>
  <c r="T1140" i="3"/>
  <c r="U1139" i="3"/>
  <c r="T1139" i="3"/>
  <c r="U1138" i="3"/>
  <c r="T1138" i="3"/>
  <c r="U1137" i="3"/>
  <c r="T1137" i="3"/>
  <c r="U1136" i="3"/>
  <c r="T1136" i="3"/>
  <c r="U1135" i="3"/>
  <c r="T1135" i="3"/>
  <c r="U1134" i="3"/>
  <c r="T1134" i="3"/>
  <c r="U1133" i="3"/>
  <c r="T1133" i="3"/>
  <c r="U1132" i="3"/>
  <c r="T1132" i="3"/>
  <c r="U1131" i="3"/>
  <c r="T1131" i="3"/>
  <c r="U1130" i="3"/>
  <c r="T1130" i="3"/>
  <c r="U1129" i="3"/>
  <c r="T1129" i="3"/>
  <c r="U1128" i="3"/>
  <c r="T1128" i="3"/>
  <c r="U1127" i="3"/>
  <c r="T1127" i="3"/>
  <c r="U1126" i="3"/>
  <c r="T1126" i="3"/>
  <c r="U1125" i="3"/>
  <c r="T1125" i="3"/>
  <c r="U1124" i="3"/>
  <c r="T1124" i="3"/>
  <c r="U1123" i="3"/>
  <c r="T1123" i="3"/>
  <c r="U1122" i="3"/>
  <c r="T1122" i="3"/>
  <c r="U1121" i="3"/>
  <c r="T1121" i="3"/>
  <c r="U1120" i="3"/>
  <c r="T1120" i="3"/>
  <c r="U1119" i="3"/>
  <c r="T1119" i="3"/>
  <c r="U1118" i="3"/>
  <c r="T1118" i="3"/>
  <c r="U1117" i="3"/>
  <c r="T1117" i="3"/>
  <c r="U1116" i="3"/>
  <c r="T1116" i="3"/>
  <c r="U1115" i="3"/>
  <c r="T1115" i="3"/>
  <c r="U1114" i="3"/>
  <c r="T1114" i="3"/>
  <c r="U1113" i="3"/>
  <c r="T1113" i="3"/>
  <c r="U1112" i="3"/>
  <c r="T1112" i="3"/>
  <c r="U1111" i="3"/>
  <c r="T1111" i="3"/>
  <c r="U1110" i="3"/>
  <c r="T1110" i="3"/>
  <c r="U1109" i="3"/>
  <c r="T1109" i="3"/>
  <c r="U1108" i="3"/>
  <c r="T1108" i="3"/>
  <c r="U1107" i="3"/>
  <c r="T1107" i="3"/>
  <c r="U1106" i="3"/>
  <c r="T1106" i="3"/>
  <c r="U1105" i="3"/>
  <c r="T1105" i="3"/>
  <c r="U1104" i="3"/>
  <c r="T1104" i="3"/>
  <c r="U1103" i="3"/>
  <c r="T1103" i="3"/>
  <c r="U1102" i="3"/>
  <c r="T1102" i="3"/>
  <c r="U1101" i="3"/>
  <c r="T1101" i="3"/>
  <c r="U1100" i="3"/>
  <c r="T1100" i="3"/>
  <c r="U1099" i="3"/>
  <c r="T1099" i="3"/>
  <c r="U1098" i="3"/>
  <c r="T1098" i="3"/>
  <c r="U1097" i="3"/>
  <c r="T1097" i="3"/>
  <c r="U1096" i="3"/>
  <c r="T1096" i="3"/>
  <c r="U1095" i="3"/>
  <c r="T1095" i="3"/>
  <c r="U1094" i="3"/>
  <c r="T1094" i="3"/>
  <c r="U1093" i="3"/>
  <c r="T1093" i="3"/>
  <c r="U1092" i="3"/>
  <c r="T1092" i="3"/>
  <c r="U1091" i="3"/>
  <c r="T1091" i="3"/>
  <c r="U1090" i="3"/>
  <c r="T1090" i="3"/>
  <c r="U1089" i="3"/>
  <c r="T1089" i="3"/>
  <c r="U1088" i="3"/>
  <c r="T1088" i="3"/>
  <c r="U1087" i="3"/>
  <c r="T1087" i="3"/>
  <c r="U1086" i="3"/>
  <c r="T1086" i="3"/>
  <c r="U1085" i="3"/>
  <c r="T1085" i="3"/>
  <c r="U1084" i="3"/>
  <c r="T1084" i="3"/>
  <c r="U1083" i="3"/>
  <c r="T1083" i="3"/>
  <c r="U1082" i="3"/>
  <c r="T1082" i="3"/>
  <c r="U1081" i="3"/>
  <c r="T1081" i="3"/>
  <c r="U1080" i="3"/>
  <c r="T1080" i="3"/>
  <c r="U1079" i="3"/>
  <c r="T1079" i="3"/>
  <c r="U1078" i="3"/>
  <c r="T1078" i="3"/>
  <c r="U1077" i="3"/>
  <c r="T1077" i="3"/>
  <c r="U1076" i="3"/>
  <c r="T1076" i="3"/>
  <c r="U1075" i="3"/>
  <c r="T1075" i="3"/>
  <c r="U1074" i="3"/>
  <c r="T1074" i="3"/>
  <c r="U1073" i="3"/>
  <c r="T1073" i="3"/>
  <c r="U1072" i="3"/>
  <c r="T1072" i="3"/>
  <c r="U1071" i="3"/>
  <c r="T1071" i="3"/>
  <c r="U1070" i="3"/>
  <c r="T1070" i="3"/>
  <c r="U1069" i="3"/>
  <c r="T1069" i="3"/>
  <c r="U1068" i="3"/>
  <c r="T1068" i="3"/>
  <c r="U1067" i="3"/>
  <c r="T1067" i="3"/>
  <c r="U1066" i="3"/>
  <c r="T1066" i="3"/>
  <c r="U1065" i="3"/>
  <c r="T1065" i="3"/>
  <c r="U1064" i="3"/>
  <c r="T1064" i="3"/>
  <c r="U1063" i="3"/>
  <c r="T1063" i="3"/>
  <c r="U1062" i="3"/>
  <c r="T1062" i="3"/>
  <c r="U1061" i="3"/>
  <c r="T1061" i="3"/>
  <c r="U1060" i="3"/>
  <c r="T1060" i="3"/>
  <c r="U1059" i="3"/>
  <c r="T1059" i="3"/>
  <c r="U1058" i="3"/>
  <c r="T1058" i="3"/>
  <c r="U1057" i="3"/>
  <c r="T1057" i="3"/>
  <c r="U1056" i="3"/>
  <c r="T1056" i="3"/>
  <c r="U1055" i="3"/>
  <c r="T1055" i="3"/>
  <c r="U1054" i="3"/>
  <c r="T1054" i="3"/>
  <c r="U1053" i="3"/>
  <c r="T1053" i="3"/>
  <c r="U1052" i="3"/>
  <c r="T1052" i="3"/>
  <c r="U1051" i="3"/>
  <c r="T1051" i="3"/>
  <c r="U1050" i="3"/>
  <c r="T1050" i="3"/>
  <c r="U1049" i="3"/>
  <c r="T1049" i="3"/>
  <c r="U1048" i="3"/>
  <c r="T1048" i="3"/>
  <c r="U1047" i="3"/>
  <c r="T1047" i="3"/>
  <c r="U1046" i="3"/>
  <c r="T1046" i="3"/>
  <c r="U1045" i="3"/>
  <c r="T1045" i="3"/>
  <c r="U1044" i="3"/>
  <c r="T1044" i="3"/>
  <c r="U1043" i="3"/>
  <c r="T1043" i="3"/>
  <c r="U1042" i="3"/>
  <c r="T1042" i="3"/>
  <c r="U1041" i="3"/>
  <c r="T1041" i="3"/>
  <c r="U1040" i="3"/>
  <c r="T1040" i="3"/>
  <c r="U1039" i="3"/>
  <c r="T1039" i="3"/>
  <c r="U1038" i="3"/>
  <c r="T1038" i="3"/>
  <c r="U1037" i="3"/>
  <c r="T1037" i="3"/>
  <c r="U1036" i="3"/>
  <c r="T1036" i="3"/>
  <c r="U1035" i="3"/>
  <c r="T1035" i="3"/>
  <c r="U1034" i="3"/>
  <c r="T1034" i="3"/>
  <c r="U1033" i="3"/>
  <c r="T1033" i="3"/>
  <c r="U1032" i="3"/>
  <c r="T1032" i="3"/>
  <c r="U1031" i="3"/>
  <c r="T1031" i="3"/>
  <c r="U1030" i="3"/>
  <c r="T1030" i="3"/>
  <c r="U1029" i="3"/>
  <c r="T1029" i="3"/>
  <c r="U1028" i="3"/>
  <c r="T1028" i="3"/>
  <c r="U1027" i="3"/>
  <c r="T1027" i="3"/>
  <c r="U1026" i="3"/>
  <c r="T1026" i="3"/>
  <c r="U1025" i="3"/>
  <c r="T1025" i="3"/>
  <c r="U1024" i="3"/>
  <c r="T1024" i="3"/>
  <c r="U1023" i="3"/>
  <c r="T1023" i="3"/>
  <c r="U1022" i="3"/>
  <c r="T1022" i="3"/>
  <c r="U1021" i="3"/>
  <c r="T1021" i="3"/>
  <c r="U1020" i="3"/>
  <c r="T1020" i="3"/>
  <c r="U1019" i="3"/>
  <c r="T1019" i="3"/>
  <c r="U1018" i="3"/>
  <c r="T1018" i="3"/>
  <c r="U1017" i="3"/>
  <c r="T1017" i="3"/>
  <c r="U1016" i="3"/>
  <c r="T1016" i="3"/>
  <c r="U1015" i="3"/>
  <c r="T1015" i="3"/>
  <c r="U1014" i="3"/>
  <c r="T1014" i="3"/>
  <c r="U1013" i="3"/>
  <c r="T1013" i="3"/>
  <c r="U1012" i="3"/>
  <c r="T1012" i="3"/>
  <c r="U1011" i="3"/>
  <c r="T1011" i="3"/>
  <c r="U1010" i="3"/>
  <c r="T1010" i="3"/>
  <c r="U1009" i="3"/>
  <c r="T1009" i="3"/>
  <c r="U1008" i="3"/>
  <c r="T1008" i="3"/>
  <c r="U1007" i="3"/>
  <c r="T1007" i="3"/>
  <c r="U1006" i="3"/>
  <c r="T1006" i="3"/>
  <c r="U1005" i="3"/>
  <c r="T1005" i="3"/>
  <c r="U1004" i="3"/>
  <c r="T1004" i="3"/>
  <c r="U1003" i="3"/>
  <c r="T1003" i="3"/>
  <c r="U1002" i="3"/>
  <c r="T1002" i="3"/>
  <c r="U1001" i="3"/>
  <c r="T1001" i="3"/>
  <c r="U1000" i="3"/>
  <c r="T1000" i="3"/>
  <c r="U999" i="3"/>
  <c r="T999" i="3"/>
  <c r="U998" i="3"/>
  <c r="T998" i="3"/>
  <c r="U997" i="3"/>
  <c r="T997" i="3"/>
  <c r="U996" i="3"/>
  <c r="T996" i="3"/>
  <c r="U995" i="3"/>
  <c r="T995" i="3"/>
  <c r="U994" i="3"/>
  <c r="T994" i="3"/>
  <c r="U993" i="3"/>
  <c r="T993" i="3"/>
  <c r="U992" i="3"/>
  <c r="T992" i="3"/>
  <c r="U991" i="3"/>
  <c r="T991" i="3"/>
  <c r="U990" i="3"/>
  <c r="T990" i="3"/>
  <c r="U989" i="3"/>
  <c r="T989" i="3"/>
  <c r="U988" i="3"/>
  <c r="T988" i="3"/>
  <c r="U987" i="3"/>
  <c r="T987" i="3"/>
  <c r="U986" i="3"/>
  <c r="T986" i="3"/>
  <c r="U985" i="3"/>
  <c r="T985" i="3"/>
  <c r="U984" i="3"/>
  <c r="T984" i="3"/>
  <c r="U983" i="3"/>
  <c r="T983" i="3"/>
  <c r="U982" i="3"/>
  <c r="T982" i="3"/>
  <c r="U981" i="3"/>
  <c r="T981" i="3"/>
  <c r="U980" i="3"/>
  <c r="T980" i="3"/>
  <c r="U979" i="3"/>
  <c r="T979" i="3"/>
  <c r="U978" i="3"/>
  <c r="T978" i="3"/>
  <c r="U977" i="3"/>
  <c r="T977" i="3"/>
  <c r="U976" i="3"/>
  <c r="T976" i="3"/>
  <c r="U975" i="3"/>
  <c r="T975" i="3"/>
  <c r="U974" i="3"/>
  <c r="T974" i="3"/>
  <c r="U973" i="3"/>
  <c r="T973" i="3"/>
  <c r="U972" i="3"/>
  <c r="T972" i="3"/>
  <c r="U971" i="3"/>
  <c r="T971" i="3"/>
  <c r="U970" i="3"/>
  <c r="T970" i="3"/>
  <c r="U969" i="3"/>
  <c r="T969" i="3"/>
  <c r="U968" i="3"/>
  <c r="T968" i="3"/>
  <c r="U967" i="3"/>
  <c r="T967" i="3"/>
  <c r="U966" i="3"/>
  <c r="T966" i="3"/>
  <c r="U965" i="3"/>
  <c r="T965" i="3"/>
  <c r="U964" i="3"/>
  <c r="T964" i="3"/>
  <c r="U963" i="3"/>
  <c r="T963" i="3"/>
  <c r="U962" i="3"/>
  <c r="T962" i="3"/>
  <c r="U961" i="3"/>
  <c r="T961" i="3"/>
  <c r="U960" i="3"/>
  <c r="T960" i="3"/>
  <c r="U959" i="3"/>
  <c r="T959" i="3"/>
  <c r="U958" i="3"/>
  <c r="T958" i="3"/>
  <c r="U957" i="3"/>
  <c r="T957" i="3"/>
  <c r="U956" i="3"/>
  <c r="T956" i="3"/>
  <c r="U955" i="3"/>
  <c r="T955" i="3"/>
  <c r="U954" i="3"/>
  <c r="T954" i="3"/>
  <c r="U953" i="3"/>
  <c r="T953" i="3"/>
  <c r="U952" i="3"/>
  <c r="T952" i="3"/>
  <c r="U951" i="3"/>
  <c r="T951" i="3"/>
  <c r="U950" i="3"/>
  <c r="T950" i="3"/>
  <c r="U949" i="3"/>
  <c r="T949" i="3"/>
  <c r="U948" i="3"/>
  <c r="T948" i="3"/>
  <c r="U947" i="3"/>
  <c r="T947" i="3"/>
  <c r="U946" i="3"/>
  <c r="T946" i="3"/>
  <c r="U945" i="3"/>
  <c r="T945" i="3"/>
  <c r="U944" i="3"/>
  <c r="T944" i="3"/>
  <c r="U943" i="3"/>
  <c r="T943" i="3"/>
  <c r="U942" i="3"/>
  <c r="T942" i="3"/>
  <c r="U941" i="3"/>
  <c r="T941" i="3"/>
  <c r="U940" i="3"/>
  <c r="T940" i="3"/>
  <c r="U939" i="3"/>
  <c r="T939" i="3"/>
  <c r="U938" i="3"/>
  <c r="T938" i="3"/>
  <c r="U937" i="3"/>
  <c r="T937" i="3"/>
  <c r="U936" i="3"/>
  <c r="T936" i="3"/>
  <c r="U935" i="3"/>
  <c r="T935" i="3"/>
  <c r="U934" i="3"/>
  <c r="T934" i="3"/>
  <c r="U933" i="3"/>
  <c r="T933" i="3"/>
  <c r="U932" i="3"/>
  <c r="T932" i="3"/>
  <c r="U931" i="3"/>
  <c r="T931" i="3"/>
  <c r="U930" i="3"/>
  <c r="T930" i="3"/>
  <c r="U929" i="3"/>
  <c r="T929" i="3"/>
  <c r="U928" i="3"/>
  <c r="T928" i="3"/>
  <c r="U927" i="3"/>
  <c r="T927" i="3"/>
  <c r="U926" i="3"/>
  <c r="T926" i="3"/>
  <c r="U925" i="3"/>
  <c r="T925" i="3"/>
  <c r="U924" i="3"/>
  <c r="T924" i="3"/>
  <c r="U923" i="3"/>
  <c r="T923" i="3"/>
  <c r="U922" i="3"/>
  <c r="T922" i="3"/>
  <c r="U921" i="3"/>
  <c r="T921" i="3"/>
  <c r="U920" i="3"/>
  <c r="T920" i="3"/>
  <c r="U919" i="3"/>
  <c r="T919" i="3"/>
  <c r="U918" i="3"/>
  <c r="T918" i="3"/>
  <c r="U917" i="3"/>
  <c r="T917" i="3"/>
  <c r="U916" i="3"/>
  <c r="T916" i="3"/>
  <c r="U915" i="3"/>
  <c r="T915" i="3"/>
  <c r="U914" i="3"/>
  <c r="T914" i="3"/>
  <c r="U913" i="3"/>
  <c r="T913" i="3"/>
  <c r="U912" i="3"/>
  <c r="T912" i="3"/>
  <c r="U911" i="3"/>
  <c r="T911" i="3"/>
  <c r="U910" i="3"/>
  <c r="T910" i="3"/>
  <c r="U909" i="3"/>
  <c r="T909" i="3"/>
  <c r="U908" i="3"/>
  <c r="T908" i="3"/>
  <c r="U907" i="3"/>
  <c r="T907" i="3"/>
  <c r="U906" i="3"/>
  <c r="T906" i="3"/>
  <c r="U905" i="3"/>
  <c r="T905" i="3"/>
  <c r="U904" i="3"/>
  <c r="T904" i="3"/>
  <c r="U903" i="3"/>
  <c r="T903" i="3"/>
  <c r="U902" i="3"/>
  <c r="T902" i="3"/>
  <c r="U901" i="3"/>
  <c r="T901" i="3"/>
  <c r="U900" i="3"/>
  <c r="T900" i="3"/>
  <c r="U899" i="3"/>
  <c r="T899" i="3"/>
  <c r="U898" i="3"/>
  <c r="T898" i="3"/>
  <c r="U897" i="3"/>
  <c r="T897" i="3"/>
  <c r="U896" i="3"/>
  <c r="T896" i="3"/>
  <c r="U895" i="3"/>
  <c r="T895" i="3"/>
  <c r="U894" i="3"/>
  <c r="T894" i="3"/>
  <c r="U893" i="3"/>
  <c r="T893" i="3"/>
  <c r="U892" i="3"/>
  <c r="T892" i="3"/>
  <c r="U891" i="3"/>
  <c r="T891" i="3"/>
  <c r="U890" i="3"/>
  <c r="T890" i="3"/>
  <c r="U889" i="3"/>
  <c r="T889" i="3"/>
  <c r="U888" i="3"/>
  <c r="T888" i="3"/>
  <c r="U887" i="3"/>
  <c r="T887" i="3"/>
  <c r="U886" i="3"/>
  <c r="T886" i="3"/>
  <c r="U885" i="3"/>
  <c r="T885" i="3"/>
  <c r="U884" i="3"/>
  <c r="T884" i="3"/>
  <c r="U883" i="3"/>
  <c r="T883" i="3"/>
  <c r="U882" i="3"/>
  <c r="T882" i="3"/>
  <c r="U881" i="3"/>
  <c r="T881" i="3"/>
  <c r="U880" i="3"/>
  <c r="T880" i="3"/>
  <c r="U879" i="3"/>
  <c r="T879" i="3"/>
  <c r="U878" i="3"/>
  <c r="T878" i="3"/>
  <c r="U877" i="3"/>
  <c r="T877" i="3"/>
  <c r="U876" i="3"/>
  <c r="T876" i="3"/>
  <c r="U875" i="3"/>
  <c r="T875" i="3"/>
  <c r="U874" i="3"/>
  <c r="T874" i="3"/>
  <c r="U873" i="3"/>
  <c r="T873" i="3"/>
  <c r="U872" i="3"/>
  <c r="T872" i="3"/>
  <c r="U871" i="3"/>
  <c r="T871" i="3"/>
  <c r="U870" i="3"/>
  <c r="T870" i="3"/>
  <c r="U869" i="3"/>
  <c r="T869" i="3"/>
  <c r="U868" i="3"/>
  <c r="T868" i="3"/>
  <c r="U867" i="3"/>
  <c r="T867" i="3"/>
  <c r="U866" i="3"/>
  <c r="T866" i="3"/>
  <c r="U865" i="3"/>
  <c r="T865" i="3"/>
  <c r="U864" i="3"/>
  <c r="T864" i="3"/>
  <c r="U863" i="3"/>
  <c r="T863" i="3"/>
  <c r="U862" i="3"/>
  <c r="T862" i="3"/>
  <c r="U861" i="3"/>
  <c r="T861" i="3"/>
  <c r="U860" i="3"/>
  <c r="T860" i="3"/>
  <c r="U859" i="3"/>
  <c r="T859" i="3"/>
  <c r="U858" i="3"/>
  <c r="T858" i="3"/>
  <c r="U857" i="3"/>
  <c r="T857" i="3"/>
  <c r="U856" i="3"/>
  <c r="T856" i="3"/>
  <c r="U855" i="3"/>
  <c r="T855" i="3"/>
  <c r="U854" i="3"/>
  <c r="T854" i="3"/>
  <c r="U853" i="3"/>
  <c r="T853" i="3"/>
  <c r="U852" i="3"/>
  <c r="T852" i="3"/>
  <c r="U851" i="3"/>
  <c r="T851" i="3"/>
  <c r="U850" i="3"/>
  <c r="T850" i="3"/>
  <c r="U849" i="3"/>
  <c r="T849" i="3"/>
  <c r="U848" i="3"/>
  <c r="T848" i="3"/>
  <c r="U847" i="3"/>
  <c r="T847" i="3"/>
  <c r="U846" i="3"/>
  <c r="T846" i="3"/>
  <c r="U845" i="3"/>
  <c r="T845" i="3"/>
  <c r="U844" i="3"/>
  <c r="T844" i="3"/>
  <c r="U843" i="3"/>
  <c r="T843" i="3"/>
  <c r="U842" i="3"/>
  <c r="T842" i="3"/>
  <c r="U841" i="3"/>
  <c r="T841" i="3"/>
  <c r="U840" i="3"/>
  <c r="T840" i="3"/>
  <c r="U839" i="3"/>
  <c r="T839" i="3"/>
  <c r="U838" i="3"/>
  <c r="T838" i="3"/>
  <c r="U837" i="3"/>
  <c r="T837" i="3"/>
  <c r="U836" i="3"/>
  <c r="T836" i="3"/>
  <c r="U835" i="3"/>
  <c r="T835" i="3"/>
  <c r="U834" i="3"/>
  <c r="T834" i="3"/>
  <c r="U833" i="3"/>
  <c r="T833" i="3"/>
  <c r="U832" i="3"/>
  <c r="T832" i="3"/>
  <c r="U831" i="3"/>
  <c r="T831" i="3"/>
  <c r="U830" i="3"/>
  <c r="T830" i="3"/>
  <c r="U829" i="3"/>
  <c r="T829" i="3"/>
  <c r="U828" i="3"/>
  <c r="T828" i="3"/>
  <c r="U827" i="3"/>
  <c r="T827" i="3"/>
  <c r="U826" i="3"/>
  <c r="T826" i="3"/>
  <c r="U825" i="3"/>
  <c r="T825" i="3"/>
  <c r="U824" i="3"/>
  <c r="T824" i="3"/>
  <c r="U823" i="3"/>
  <c r="T823" i="3"/>
  <c r="U822" i="3"/>
  <c r="T822" i="3"/>
  <c r="U821" i="3"/>
  <c r="T821" i="3"/>
  <c r="U820" i="3"/>
  <c r="T820" i="3"/>
  <c r="U819" i="3"/>
  <c r="T819" i="3"/>
  <c r="U818" i="3"/>
  <c r="T818" i="3"/>
  <c r="U817" i="3"/>
  <c r="T817" i="3"/>
  <c r="U816" i="3"/>
  <c r="T816" i="3"/>
  <c r="U815" i="3"/>
  <c r="T815" i="3"/>
  <c r="U814" i="3"/>
  <c r="T814" i="3"/>
  <c r="U813" i="3"/>
  <c r="T813" i="3"/>
  <c r="U812" i="3"/>
  <c r="T812" i="3"/>
  <c r="U811" i="3"/>
  <c r="T811" i="3"/>
  <c r="U810" i="3"/>
  <c r="T810" i="3"/>
  <c r="U809" i="3"/>
  <c r="T809" i="3"/>
  <c r="U808" i="3"/>
  <c r="T808" i="3"/>
  <c r="U807" i="3"/>
  <c r="T807" i="3"/>
  <c r="U806" i="3"/>
  <c r="T806" i="3"/>
  <c r="U805" i="3"/>
  <c r="T805" i="3"/>
  <c r="U804" i="3"/>
  <c r="T804" i="3"/>
  <c r="U803" i="3"/>
  <c r="T803" i="3"/>
  <c r="U802" i="3"/>
  <c r="T802" i="3"/>
  <c r="U801" i="3"/>
  <c r="T801" i="3"/>
  <c r="U800" i="3"/>
  <c r="T800" i="3"/>
  <c r="U799" i="3"/>
  <c r="T799" i="3"/>
  <c r="U798" i="3"/>
  <c r="T798" i="3"/>
  <c r="U797" i="3"/>
  <c r="T797" i="3"/>
  <c r="U796" i="3"/>
  <c r="T796" i="3"/>
  <c r="U795" i="3"/>
  <c r="T795" i="3"/>
  <c r="U794" i="3"/>
  <c r="T794" i="3"/>
  <c r="U793" i="3"/>
  <c r="T793" i="3"/>
  <c r="U792" i="3"/>
  <c r="T792" i="3"/>
  <c r="U791" i="3"/>
  <c r="T791" i="3"/>
  <c r="U790" i="3"/>
  <c r="T790" i="3"/>
  <c r="U789" i="3"/>
  <c r="T789" i="3"/>
  <c r="U788" i="3"/>
  <c r="T788" i="3"/>
  <c r="U787" i="3"/>
  <c r="T787" i="3"/>
  <c r="U786" i="3"/>
  <c r="T786" i="3"/>
  <c r="U785" i="3"/>
  <c r="T785" i="3"/>
  <c r="U784" i="3"/>
  <c r="T784" i="3"/>
  <c r="U783" i="3"/>
  <c r="T783" i="3"/>
  <c r="U782" i="3"/>
  <c r="T782" i="3"/>
  <c r="U781" i="3"/>
  <c r="T781" i="3"/>
  <c r="U780" i="3"/>
  <c r="T780" i="3"/>
  <c r="U779" i="3"/>
  <c r="T779" i="3"/>
  <c r="U778" i="3"/>
  <c r="T778" i="3"/>
  <c r="U777" i="3"/>
  <c r="T777" i="3"/>
  <c r="U776" i="3"/>
  <c r="T776" i="3"/>
  <c r="U775" i="3"/>
  <c r="T775" i="3"/>
  <c r="U774" i="3"/>
  <c r="T774" i="3"/>
  <c r="U773" i="3"/>
  <c r="T773" i="3"/>
  <c r="U772" i="3"/>
  <c r="T772" i="3"/>
  <c r="U771" i="3"/>
  <c r="T771" i="3"/>
  <c r="U770" i="3"/>
  <c r="T770" i="3"/>
  <c r="U769" i="3"/>
  <c r="T769" i="3"/>
  <c r="U768" i="3"/>
  <c r="T768" i="3"/>
  <c r="U767" i="3"/>
  <c r="T767" i="3"/>
  <c r="U766" i="3"/>
  <c r="T766" i="3"/>
  <c r="U765" i="3"/>
  <c r="T765" i="3"/>
  <c r="U764" i="3"/>
  <c r="T764" i="3"/>
  <c r="U763" i="3"/>
  <c r="T763" i="3"/>
  <c r="U762" i="3"/>
  <c r="T762" i="3"/>
  <c r="U761" i="3"/>
  <c r="T761" i="3"/>
  <c r="U760" i="3"/>
  <c r="T760" i="3"/>
  <c r="U759" i="3"/>
  <c r="T759" i="3"/>
  <c r="U758" i="3"/>
  <c r="T758" i="3"/>
  <c r="U757" i="3"/>
  <c r="T757" i="3"/>
  <c r="U756" i="3"/>
  <c r="T756" i="3"/>
  <c r="U755" i="3"/>
  <c r="T755" i="3"/>
  <c r="U754" i="3"/>
  <c r="T754" i="3"/>
  <c r="U753" i="3"/>
  <c r="T753" i="3"/>
  <c r="U752" i="3"/>
  <c r="T752" i="3"/>
  <c r="U751" i="3"/>
  <c r="T751" i="3"/>
  <c r="U750" i="3"/>
  <c r="T750" i="3"/>
  <c r="U749" i="3"/>
  <c r="T749" i="3"/>
  <c r="U748" i="3"/>
  <c r="T748" i="3"/>
  <c r="U747" i="3"/>
  <c r="T747" i="3"/>
  <c r="U746" i="3"/>
  <c r="T746" i="3"/>
  <c r="U745" i="3"/>
  <c r="T745" i="3"/>
  <c r="U744" i="3"/>
  <c r="T744" i="3"/>
  <c r="U743" i="3"/>
  <c r="T743" i="3"/>
  <c r="U742" i="3"/>
  <c r="T742" i="3"/>
  <c r="U741" i="3"/>
  <c r="T741" i="3"/>
  <c r="U740" i="3"/>
  <c r="T740" i="3"/>
  <c r="U739" i="3"/>
  <c r="T739" i="3"/>
  <c r="U738" i="3"/>
  <c r="T738" i="3"/>
  <c r="U737" i="3"/>
  <c r="T737" i="3"/>
  <c r="U736" i="3"/>
  <c r="T736" i="3"/>
  <c r="U735" i="3"/>
  <c r="T735" i="3"/>
  <c r="U734" i="3"/>
  <c r="T734" i="3"/>
  <c r="U733" i="3"/>
  <c r="T733" i="3"/>
  <c r="U732" i="3"/>
  <c r="T732" i="3"/>
  <c r="U731" i="3"/>
  <c r="T731" i="3"/>
  <c r="U730" i="3"/>
  <c r="T730" i="3"/>
  <c r="U729" i="3"/>
  <c r="T729" i="3"/>
  <c r="U728" i="3"/>
  <c r="T728" i="3"/>
  <c r="U727" i="3"/>
  <c r="T727" i="3"/>
  <c r="U726" i="3"/>
  <c r="T726" i="3"/>
  <c r="U725" i="3"/>
  <c r="T725" i="3"/>
  <c r="U724" i="3"/>
  <c r="T724" i="3"/>
  <c r="U723" i="3"/>
  <c r="T723" i="3"/>
  <c r="U722" i="3"/>
  <c r="T722" i="3"/>
  <c r="U721" i="3"/>
  <c r="T721" i="3"/>
  <c r="U720" i="3"/>
  <c r="T720" i="3"/>
  <c r="U719" i="3"/>
  <c r="T719" i="3"/>
  <c r="U718" i="3"/>
  <c r="T718" i="3"/>
  <c r="U717" i="3"/>
  <c r="T717" i="3"/>
  <c r="U716" i="3"/>
  <c r="T716" i="3"/>
  <c r="U715" i="3"/>
  <c r="T715" i="3"/>
  <c r="U714" i="3"/>
  <c r="T714" i="3"/>
  <c r="U713" i="3"/>
  <c r="T713" i="3"/>
  <c r="U712" i="3"/>
  <c r="T712" i="3"/>
  <c r="U711" i="3"/>
  <c r="T711" i="3"/>
  <c r="U710" i="3"/>
  <c r="T710" i="3"/>
  <c r="U709" i="3"/>
  <c r="T709" i="3"/>
  <c r="U708" i="3"/>
  <c r="T708" i="3"/>
  <c r="U707" i="3"/>
  <c r="T707" i="3"/>
  <c r="U706" i="3"/>
  <c r="T706" i="3"/>
  <c r="U705" i="3"/>
  <c r="T705" i="3"/>
  <c r="U704" i="3"/>
  <c r="T704" i="3"/>
  <c r="U703" i="3"/>
  <c r="T703" i="3"/>
  <c r="U702" i="3"/>
  <c r="T702" i="3"/>
  <c r="U701" i="3"/>
  <c r="T701" i="3"/>
  <c r="U700" i="3"/>
  <c r="T700" i="3"/>
  <c r="U699" i="3"/>
  <c r="T699" i="3"/>
  <c r="U698" i="3"/>
  <c r="T698" i="3"/>
  <c r="U697" i="3"/>
  <c r="T697" i="3"/>
  <c r="U696" i="3"/>
  <c r="T696" i="3"/>
  <c r="U695" i="3"/>
  <c r="T695" i="3"/>
  <c r="U694" i="3"/>
  <c r="T694" i="3"/>
  <c r="U693" i="3"/>
  <c r="T693" i="3"/>
  <c r="U692" i="3"/>
  <c r="T692" i="3"/>
  <c r="U691" i="3"/>
  <c r="T691" i="3"/>
  <c r="U690" i="3"/>
  <c r="T690" i="3"/>
  <c r="U689" i="3"/>
  <c r="T689" i="3"/>
  <c r="U688" i="3"/>
  <c r="T688" i="3"/>
  <c r="U687" i="3"/>
  <c r="T687" i="3"/>
  <c r="U686" i="3"/>
  <c r="T686" i="3"/>
  <c r="U685" i="3"/>
  <c r="T685" i="3"/>
  <c r="U684" i="3"/>
  <c r="T684" i="3"/>
  <c r="U683" i="3"/>
  <c r="T683" i="3"/>
  <c r="U682" i="3"/>
  <c r="T682" i="3"/>
  <c r="U681" i="3"/>
  <c r="T681" i="3"/>
  <c r="U680" i="3"/>
  <c r="T680" i="3"/>
  <c r="U679" i="3"/>
  <c r="T679" i="3"/>
  <c r="U678" i="3"/>
  <c r="T678" i="3"/>
  <c r="U677" i="3"/>
  <c r="T677" i="3"/>
  <c r="U676" i="3"/>
  <c r="T676" i="3"/>
  <c r="U675" i="3"/>
  <c r="T675" i="3"/>
  <c r="U674" i="3"/>
  <c r="T674" i="3"/>
  <c r="U673" i="3"/>
  <c r="T673" i="3"/>
  <c r="U672" i="3"/>
  <c r="T672" i="3"/>
  <c r="U671" i="3"/>
  <c r="T671" i="3"/>
  <c r="U670" i="3"/>
  <c r="T670" i="3"/>
  <c r="U669" i="3"/>
  <c r="T669" i="3"/>
  <c r="U668" i="3"/>
  <c r="T668" i="3"/>
  <c r="U667" i="3"/>
  <c r="T667" i="3"/>
  <c r="U666" i="3"/>
  <c r="T666" i="3"/>
  <c r="U665" i="3"/>
  <c r="T665" i="3"/>
  <c r="U664" i="3"/>
  <c r="T664" i="3"/>
  <c r="U663" i="3"/>
  <c r="T663" i="3"/>
  <c r="U662" i="3"/>
  <c r="T662" i="3"/>
  <c r="U661" i="3"/>
  <c r="T661" i="3"/>
  <c r="U660" i="3"/>
  <c r="T660" i="3"/>
  <c r="U659" i="3"/>
  <c r="T659" i="3"/>
  <c r="U658" i="3"/>
  <c r="T658" i="3"/>
  <c r="U657" i="3"/>
  <c r="T657" i="3"/>
  <c r="U656" i="3"/>
  <c r="T656" i="3"/>
  <c r="U655" i="3"/>
  <c r="T655" i="3"/>
  <c r="U654" i="3"/>
  <c r="T654" i="3"/>
  <c r="U653" i="3"/>
  <c r="T653" i="3"/>
  <c r="U652" i="3"/>
  <c r="T652" i="3"/>
  <c r="U651" i="3"/>
  <c r="T651" i="3"/>
  <c r="U650" i="3"/>
  <c r="T650" i="3"/>
  <c r="U649" i="3"/>
  <c r="T649" i="3"/>
  <c r="U648" i="3"/>
  <c r="T648" i="3"/>
  <c r="U647" i="3"/>
  <c r="T647" i="3"/>
  <c r="U646" i="3"/>
  <c r="T646" i="3"/>
  <c r="U645" i="3"/>
  <c r="T645" i="3"/>
  <c r="U644" i="3"/>
  <c r="T644" i="3"/>
  <c r="U643" i="3"/>
  <c r="T643" i="3"/>
  <c r="U642" i="3"/>
  <c r="T642" i="3"/>
  <c r="U641" i="3"/>
  <c r="T641" i="3"/>
  <c r="U640" i="3"/>
  <c r="T640" i="3"/>
  <c r="U639" i="3"/>
  <c r="T639" i="3"/>
  <c r="U638" i="3"/>
  <c r="T638" i="3"/>
  <c r="U637" i="3"/>
  <c r="T637" i="3"/>
  <c r="U636" i="3"/>
  <c r="T636" i="3"/>
  <c r="U635" i="3"/>
  <c r="T635" i="3"/>
  <c r="U634" i="3"/>
  <c r="T634" i="3"/>
  <c r="U633" i="3"/>
  <c r="T633" i="3"/>
  <c r="U632" i="3"/>
  <c r="T632" i="3"/>
  <c r="U631" i="3"/>
  <c r="T631" i="3"/>
  <c r="U630" i="3"/>
  <c r="T630" i="3"/>
  <c r="U629" i="3"/>
  <c r="T629" i="3"/>
  <c r="U628" i="3"/>
  <c r="T628" i="3"/>
  <c r="U627" i="3"/>
  <c r="T627" i="3"/>
  <c r="U626" i="3"/>
  <c r="T626" i="3"/>
  <c r="U625" i="3"/>
  <c r="T625" i="3"/>
  <c r="U624" i="3"/>
  <c r="T624" i="3"/>
  <c r="U623" i="3"/>
  <c r="T623" i="3"/>
  <c r="U622" i="3"/>
  <c r="T622" i="3"/>
  <c r="U621" i="3"/>
  <c r="T621" i="3"/>
  <c r="U620" i="3"/>
  <c r="T620" i="3"/>
  <c r="U619" i="3"/>
  <c r="T619" i="3"/>
  <c r="U618" i="3"/>
  <c r="T618" i="3"/>
  <c r="U617" i="3"/>
  <c r="T617" i="3"/>
  <c r="U616" i="3"/>
  <c r="T616" i="3"/>
  <c r="U615" i="3"/>
  <c r="T615" i="3"/>
  <c r="U614" i="3"/>
  <c r="T614" i="3"/>
  <c r="U613" i="3"/>
  <c r="T613" i="3"/>
  <c r="U612" i="3"/>
  <c r="T612" i="3"/>
  <c r="U611" i="3"/>
  <c r="T611" i="3"/>
  <c r="U610" i="3"/>
  <c r="T610" i="3"/>
  <c r="U609" i="3"/>
  <c r="T609" i="3"/>
  <c r="U608" i="3"/>
  <c r="T608" i="3"/>
  <c r="U607" i="3"/>
  <c r="T607" i="3"/>
  <c r="U606" i="3"/>
  <c r="T606" i="3"/>
  <c r="U605" i="3"/>
  <c r="T605" i="3"/>
  <c r="U604" i="3"/>
  <c r="T604" i="3"/>
  <c r="U603" i="3"/>
  <c r="T603" i="3"/>
  <c r="U602" i="3"/>
  <c r="T602" i="3"/>
  <c r="U601" i="3"/>
  <c r="T601" i="3"/>
  <c r="U600" i="3"/>
  <c r="T600" i="3"/>
  <c r="U599" i="3"/>
  <c r="T599" i="3"/>
  <c r="U598" i="3"/>
  <c r="T598" i="3"/>
  <c r="U597" i="3"/>
  <c r="T597" i="3"/>
  <c r="U596" i="3"/>
  <c r="T596" i="3"/>
  <c r="U595" i="3"/>
  <c r="T595" i="3"/>
  <c r="U594" i="3"/>
  <c r="T594" i="3"/>
  <c r="U593" i="3"/>
  <c r="T593" i="3"/>
  <c r="U592" i="3"/>
  <c r="T592" i="3"/>
  <c r="U591" i="3"/>
  <c r="T591" i="3"/>
  <c r="U590" i="3"/>
  <c r="T590" i="3"/>
  <c r="U589" i="3"/>
  <c r="T589" i="3"/>
  <c r="U588" i="3"/>
  <c r="T588" i="3"/>
  <c r="U587" i="3"/>
  <c r="T587" i="3"/>
  <c r="U586" i="3"/>
  <c r="T586" i="3"/>
  <c r="U585" i="3"/>
  <c r="T585" i="3"/>
  <c r="U584" i="3"/>
  <c r="T584" i="3"/>
  <c r="U583" i="3"/>
  <c r="T583" i="3"/>
  <c r="U582" i="3"/>
  <c r="T582" i="3"/>
  <c r="U581" i="3"/>
  <c r="T581" i="3"/>
  <c r="U580" i="3"/>
  <c r="T580" i="3"/>
  <c r="U579" i="3"/>
  <c r="T579" i="3"/>
  <c r="U578" i="3"/>
  <c r="T578" i="3"/>
  <c r="U577" i="3"/>
  <c r="T577" i="3"/>
  <c r="U576" i="3"/>
  <c r="T576" i="3"/>
  <c r="U575" i="3"/>
  <c r="T575" i="3"/>
  <c r="U574" i="3"/>
  <c r="T574" i="3"/>
  <c r="U573" i="3"/>
  <c r="T573" i="3"/>
  <c r="U572" i="3"/>
  <c r="T572" i="3"/>
  <c r="U571" i="3"/>
  <c r="T571" i="3"/>
  <c r="U570" i="3"/>
  <c r="T570" i="3"/>
  <c r="U569" i="3"/>
  <c r="T569" i="3"/>
  <c r="U568" i="3"/>
  <c r="T568" i="3"/>
  <c r="U567" i="3"/>
  <c r="T567" i="3"/>
  <c r="U566" i="3"/>
  <c r="T566" i="3"/>
  <c r="U565" i="3"/>
  <c r="T565" i="3"/>
  <c r="U564" i="3"/>
  <c r="T564" i="3"/>
  <c r="U563" i="3"/>
  <c r="T563" i="3"/>
  <c r="U562" i="3"/>
  <c r="T562" i="3"/>
  <c r="U561" i="3"/>
  <c r="T561" i="3"/>
  <c r="U560" i="3"/>
  <c r="T560" i="3"/>
  <c r="U559" i="3"/>
  <c r="T559" i="3"/>
  <c r="U558" i="3"/>
  <c r="T558" i="3"/>
  <c r="U557" i="3"/>
  <c r="T557" i="3"/>
  <c r="U556" i="3"/>
  <c r="T556" i="3"/>
  <c r="U555" i="3"/>
  <c r="T555" i="3"/>
  <c r="U554" i="3"/>
  <c r="T554" i="3"/>
  <c r="U553" i="3"/>
  <c r="T553" i="3"/>
  <c r="U552" i="3"/>
  <c r="T552" i="3"/>
  <c r="U551" i="3"/>
  <c r="T551" i="3"/>
  <c r="U550" i="3"/>
  <c r="T550" i="3"/>
  <c r="U549" i="3"/>
  <c r="T549" i="3"/>
  <c r="U548" i="3"/>
  <c r="T548" i="3"/>
  <c r="U547" i="3"/>
  <c r="T547" i="3"/>
  <c r="U546" i="3"/>
  <c r="T546" i="3"/>
  <c r="U545" i="3"/>
  <c r="T545" i="3"/>
  <c r="U544" i="3"/>
  <c r="T544" i="3"/>
  <c r="U543" i="3"/>
  <c r="T543" i="3"/>
  <c r="U542" i="3"/>
  <c r="T542" i="3"/>
  <c r="U541" i="3"/>
  <c r="T541" i="3"/>
  <c r="U540" i="3"/>
  <c r="T540" i="3"/>
  <c r="U539" i="3"/>
  <c r="T539" i="3"/>
  <c r="U538" i="3"/>
  <c r="T538" i="3"/>
  <c r="U537" i="3"/>
  <c r="T537" i="3"/>
  <c r="U536" i="3"/>
  <c r="T536" i="3"/>
  <c r="U535" i="3"/>
  <c r="T535" i="3"/>
  <c r="U534" i="3"/>
  <c r="T534" i="3"/>
  <c r="U533" i="3"/>
  <c r="T533" i="3"/>
  <c r="U532" i="3"/>
  <c r="T532" i="3"/>
  <c r="U531" i="3"/>
  <c r="T531" i="3"/>
  <c r="U530" i="3"/>
  <c r="T530" i="3"/>
  <c r="U529" i="3"/>
  <c r="T529" i="3"/>
  <c r="U528" i="3"/>
  <c r="T528" i="3"/>
  <c r="U527" i="3"/>
  <c r="T527" i="3"/>
  <c r="U526" i="3"/>
  <c r="T526" i="3"/>
  <c r="U525" i="3"/>
  <c r="T525" i="3"/>
  <c r="U524" i="3"/>
  <c r="T524" i="3"/>
  <c r="U523" i="3"/>
  <c r="T523" i="3"/>
  <c r="U522" i="3"/>
  <c r="T522" i="3"/>
  <c r="U521" i="3"/>
  <c r="T521" i="3"/>
  <c r="U520" i="3"/>
  <c r="T520" i="3"/>
  <c r="U519" i="3"/>
  <c r="T519" i="3"/>
  <c r="U518" i="3"/>
  <c r="T518" i="3"/>
  <c r="U517" i="3"/>
  <c r="T517" i="3"/>
  <c r="U516" i="3"/>
  <c r="T516" i="3"/>
  <c r="U515" i="3"/>
  <c r="T515" i="3"/>
  <c r="U514" i="3"/>
  <c r="T514" i="3"/>
  <c r="U513" i="3"/>
  <c r="T513" i="3"/>
  <c r="U512" i="3"/>
  <c r="T512" i="3"/>
  <c r="U511" i="3"/>
  <c r="T511" i="3"/>
  <c r="U510" i="3"/>
  <c r="T510" i="3"/>
  <c r="U509" i="3"/>
  <c r="T509" i="3"/>
  <c r="U508" i="3"/>
  <c r="T508" i="3"/>
  <c r="U507" i="3"/>
  <c r="T507" i="3"/>
  <c r="U506" i="3"/>
  <c r="T506" i="3"/>
  <c r="U505" i="3"/>
  <c r="T505" i="3"/>
  <c r="U504" i="3"/>
  <c r="T504" i="3"/>
  <c r="U503" i="3"/>
  <c r="T503" i="3"/>
  <c r="U502" i="3"/>
  <c r="T502" i="3"/>
  <c r="U501" i="3"/>
  <c r="T501" i="3"/>
  <c r="U500" i="3"/>
  <c r="T500" i="3"/>
  <c r="U499" i="3"/>
  <c r="T499" i="3"/>
  <c r="U498" i="3"/>
  <c r="T498" i="3"/>
  <c r="U497" i="3"/>
  <c r="T497" i="3"/>
  <c r="U496" i="3"/>
  <c r="T496" i="3"/>
  <c r="U495" i="3"/>
  <c r="T495" i="3"/>
  <c r="U494" i="3"/>
  <c r="T494" i="3"/>
  <c r="U493" i="3"/>
  <c r="T493" i="3"/>
  <c r="U492" i="3"/>
  <c r="T492" i="3"/>
  <c r="U491" i="3"/>
  <c r="T491" i="3"/>
  <c r="U490" i="3"/>
  <c r="T490" i="3"/>
  <c r="U489" i="3"/>
  <c r="T489" i="3"/>
  <c r="U488" i="3"/>
  <c r="T488" i="3"/>
  <c r="U487" i="3"/>
  <c r="T487" i="3"/>
  <c r="U486" i="3"/>
  <c r="T486" i="3"/>
  <c r="U485" i="3"/>
  <c r="T485" i="3"/>
  <c r="U484" i="3"/>
  <c r="T484" i="3"/>
  <c r="U483" i="3"/>
  <c r="T483" i="3"/>
  <c r="U482" i="3"/>
  <c r="T482" i="3"/>
  <c r="U481" i="3"/>
  <c r="T481" i="3"/>
  <c r="U480" i="3"/>
  <c r="T480" i="3"/>
  <c r="U479" i="3"/>
  <c r="T479" i="3"/>
  <c r="U478" i="3"/>
  <c r="T478" i="3"/>
  <c r="U477" i="3"/>
  <c r="T477" i="3"/>
  <c r="U476" i="3"/>
  <c r="T476" i="3"/>
  <c r="U475" i="3"/>
  <c r="T475" i="3"/>
  <c r="U474" i="3"/>
  <c r="T474" i="3"/>
  <c r="U473" i="3"/>
  <c r="T473" i="3"/>
  <c r="U472" i="3"/>
  <c r="T472" i="3"/>
  <c r="U471" i="3"/>
  <c r="T471" i="3"/>
  <c r="U470" i="3"/>
  <c r="T470" i="3"/>
  <c r="U469" i="3"/>
  <c r="T469" i="3"/>
  <c r="U468" i="3"/>
  <c r="T468" i="3"/>
  <c r="U467" i="3"/>
  <c r="T467" i="3"/>
  <c r="U466" i="3"/>
  <c r="T466" i="3"/>
  <c r="U465" i="3"/>
  <c r="T465" i="3"/>
  <c r="U464" i="3"/>
  <c r="T464" i="3"/>
  <c r="U463" i="3"/>
  <c r="T463" i="3"/>
  <c r="U462" i="3"/>
  <c r="T462" i="3"/>
  <c r="U461" i="3"/>
  <c r="T461" i="3"/>
  <c r="U460" i="3"/>
  <c r="T460" i="3"/>
  <c r="U459" i="3"/>
  <c r="T459" i="3"/>
  <c r="U458" i="3"/>
  <c r="T458" i="3"/>
  <c r="U457" i="3"/>
  <c r="T457" i="3"/>
  <c r="U456" i="3"/>
  <c r="T456" i="3"/>
  <c r="U455" i="3"/>
  <c r="T455" i="3"/>
  <c r="U454" i="3"/>
  <c r="T454" i="3"/>
  <c r="U453" i="3"/>
  <c r="T453" i="3"/>
  <c r="U452" i="3"/>
  <c r="T452" i="3"/>
  <c r="U451" i="3"/>
  <c r="T451" i="3"/>
  <c r="U450" i="3"/>
  <c r="T450" i="3"/>
  <c r="U449" i="3"/>
  <c r="T449" i="3"/>
  <c r="U448" i="3"/>
  <c r="T448" i="3"/>
  <c r="U447" i="3"/>
  <c r="T447" i="3"/>
  <c r="U446" i="3"/>
  <c r="T446" i="3"/>
  <c r="U445" i="3"/>
  <c r="T445" i="3"/>
  <c r="U444" i="3"/>
  <c r="T444" i="3"/>
  <c r="U443" i="3"/>
  <c r="T443" i="3"/>
  <c r="U442" i="3"/>
  <c r="T442" i="3"/>
  <c r="U441" i="3"/>
  <c r="T441" i="3"/>
  <c r="U440" i="3"/>
  <c r="T440" i="3"/>
  <c r="U439" i="3"/>
  <c r="T439" i="3"/>
  <c r="U438" i="3"/>
  <c r="T438" i="3"/>
  <c r="U437" i="3"/>
  <c r="T437" i="3"/>
  <c r="U436" i="3"/>
  <c r="T436" i="3"/>
  <c r="U435" i="3"/>
  <c r="T435" i="3"/>
  <c r="U434" i="3"/>
  <c r="T434" i="3"/>
  <c r="U433" i="3"/>
  <c r="T433" i="3"/>
  <c r="U432" i="3"/>
  <c r="T432" i="3"/>
  <c r="U431" i="3"/>
  <c r="T431" i="3"/>
  <c r="U430" i="3"/>
  <c r="T430" i="3"/>
  <c r="U429" i="3"/>
  <c r="T429" i="3"/>
  <c r="U428" i="3"/>
  <c r="T428" i="3"/>
  <c r="U427" i="3"/>
  <c r="T427" i="3"/>
  <c r="U426" i="3"/>
  <c r="T426" i="3"/>
  <c r="U425" i="3"/>
  <c r="T425" i="3"/>
  <c r="U424" i="3"/>
  <c r="T424" i="3"/>
  <c r="U423" i="3"/>
  <c r="T423" i="3"/>
  <c r="U422" i="3"/>
  <c r="T422" i="3"/>
  <c r="U421" i="3"/>
  <c r="T421" i="3"/>
  <c r="U420" i="3"/>
  <c r="T420" i="3"/>
  <c r="U419" i="3"/>
  <c r="T419" i="3"/>
  <c r="U418" i="3"/>
  <c r="T418" i="3"/>
  <c r="U417" i="3"/>
  <c r="T417" i="3"/>
  <c r="U416" i="3"/>
  <c r="T416" i="3"/>
  <c r="T415" i="3"/>
  <c r="U415" i="3" s="1"/>
  <c r="T414" i="3"/>
  <c r="U414" i="3" s="1"/>
  <c r="T413" i="3"/>
  <c r="U413" i="3" s="1"/>
  <c r="T412" i="3"/>
  <c r="U412" i="3" s="1"/>
  <c r="T411" i="3"/>
  <c r="U411" i="3" s="1"/>
  <c r="T410" i="3"/>
  <c r="U410" i="3" s="1"/>
  <c r="T409" i="3"/>
  <c r="U409" i="3" s="1"/>
  <c r="T408" i="3"/>
  <c r="U408" i="3" s="1"/>
  <c r="T407" i="3"/>
  <c r="U407" i="3" s="1"/>
  <c r="T406" i="3"/>
  <c r="U406" i="3" s="1"/>
  <c r="T405" i="3"/>
  <c r="U405" i="3" s="1"/>
  <c r="T404" i="3"/>
  <c r="U404" i="3" s="1"/>
  <c r="T403" i="3"/>
  <c r="U403" i="3" s="1"/>
  <c r="T402" i="3"/>
  <c r="U402" i="3" s="1"/>
  <c r="T401" i="3"/>
  <c r="U401" i="3" s="1"/>
  <c r="T400" i="3"/>
  <c r="U400" i="3" s="1"/>
  <c r="T399" i="3"/>
  <c r="U399" i="3" s="1"/>
  <c r="T398" i="3"/>
  <c r="U398" i="3" s="1"/>
  <c r="T397" i="3"/>
  <c r="U397" i="3" s="1"/>
  <c r="T396" i="3"/>
  <c r="U396" i="3" s="1"/>
  <c r="T395" i="3"/>
  <c r="U395" i="3" s="1"/>
  <c r="T394" i="3"/>
  <c r="U394" i="3" s="1"/>
  <c r="T393" i="3"/>
  <c r="U393" i="3" s="1"/>
  <c r="T392" i="3"/>
  <c r="U392" i="3" s="1"/>
  <c r="T391" i="3"/>
  <c r="U391" i="3" s="1"/>
  <c r="T390" i="3"/>
  <c r="U390" i="3" s="1"/>
  <c r="T389" i="3"/>
  <c r="U389" i="3" s="1"/>
  <c r="T388" i="3"/>
  <c r="U388" i="3" s="1"/>
  <c r="T387" i="3"/>
  <c r="U387" i="3" s="1"/>
  <c r="T386" i="3"/>
  <c r="U386" i="3" s="1"/>
  <c r="T385" i="3"/>
  <c r="U385" i="3" s="1"/>
  <c r="T384" i="3"/>
  <c r="U384" i="3" s="1"/>
  <c r="T383" i="3"/>
  <c r="U383" i="3" s="1"/>
  <c r="T382" i="3"/>
  <c r="U382" i="3" s="1"/>
  <c r="T381" i="3"/>
  <c r="U381" i="3" s="1"/>
  <c r="T380" i="3"/>
  <c r="U380" i="3" s="1"/>
  <c r="T379" i="3"/>
  <c r="U379" i="3" s="1"/>
  <c r="T378" i="3"/>
  <c r="U378" i="3" s="1"/>
  <c r="T377" i="3"/>
  <c r="U377" i="3" s="1"/>
  <c r="T376" i="3"/>
  <c r="U376" i="3" s="1"/>
  <c r="T375" i="3"/>
  <c r="U375" i="3" s="1"/>
  <c r="T374" i="3"/>
  <c r="U374" i="3" s="1"/>
  <c r="T373" i="3"/>
  <c r="U373" i="3" s="1"/>
  <c r="T372" i="3"/>
  <c r="U372" i="3" s="1"/>
  <c r="T371" i="3"/>
  <c r="U371" i="3" s="1"/>
  <c r="T370" i="3"/>
  <c r="U370" i="3" s="1"/>
  <c r="T369" i="3"/>
  <c r="U369" i="3" s="1"/>
  <c r="T368" i="3"/>
  <c r="U368" i="3" s="1"/>
  <c r="T367" i="3"/>
  <c r="U367" i="3" s="1"/>
  <c r="T366" i="3"/>
  <c r="U366" i="3" s="1"/>
  <c r="T365" i="3"/>
  <c r="U365" i="3" s="1"/>
  <c r="T364" i="3"/>
  <c r="U364" i="3" s="1"/>
  <c r="T363" i="3"/>
  <c r="U363" i="3" s="1"/>
  <c r="T362" i="3"/>
  <c r="U362" i="3" s="1"/>
  <c r="T361" i="3"/>
  <c r="U361" i="3" s="1"/>
  <c r="T360" i="3"/>
  <c r="U360" i="3" s="1"/>
  <c r="T359" i="3"/>
  <c r="U359" i="3" s="1"/>
  <c r="T358" i="3"/>
  <c r="U358" i="3" s="1"/>
  <c r="T357" i="3"/>
  <c r="U357" i="3" s="1"/>
  <c r="T356" i="3"/>
  <c r="U356" i="3" s="1"/>
  <c r="T355" i="3"/>
  <c r="U355" i="3" s="1"/>
  <c r="T354" i="3"/>
  <c r="U354" i="3" s="1"/>
  <c r="T353" i="3"/>
  <c r="U353" i="3" s="1"/>
  <c r="T352" i="3"/>
  <c r="U352" i="3" s="1"/>
  <c r="T351" i="3"/>
  <c r="U351" i="3" s="1"/>
  <c r="T350" i="3"/>
  <c r="U350" i="3" s="1"/>
  <c r="T349" i="3"/>
  <c r="U349" i="3" s="1"/>
  <c r="T348" i="3"/>
  <c r="U348" i="3" s="1"/>
  <c r="T347" i="3"/>
  <c r="U347" i="3" s="1"/>
  <c r="T346" i="3"/>
  <c r="U346" i="3" s="1"/>
  <c r="T345" i="3"/>
  <c r="U345" i="3" s="1"/>
  <c r="T344" i="3"/>
  <c r="U344" i="3" s="1"/>
  <c r="T343" i="3"/>
  <c r="U343" i="3" s="1"/>
  <c r="T342" i="3"/>
  <c r="U342" i="3" s="1"/>
  <c r="T341" i="3"/>
  <c r="U341" i="3" s="1"/>
  <c r="T340" i="3"/>
  <c r="U340" i="3" s="1"/>
  <c r="T339" i="3"/>
  <c r="U339" i="3" s="1"/>
  <c r="T338" i="3"/>
  <c r="U338" i="3" s="1"/>
  <c r="T337" i="3"/>
  <c r="U337" i="3" s="1"/>
  <c r="T336" i="3"/>
  <c r="U336" i="3" s="1"/>
  <c r="T335" i="3"/>
  <c r="U335" i="3" s="1"/>
  <c r="T334" i="3"/>
  <c r="U334" i="3" s="1"/>
  <c r="T333" i="3"/>
  <c r="U333" i="3" s="1"/>
  <c r="T332" i="3"/>
  <c r="U332" i="3" s="1"/>
  <c r="T331" i="3"/>
  <c r="U331" i="3" s="1"/>
  <c r="T330" i="3"/>
  <c r="U330" i="3" s="1"/>
  <c r="T329" i="3"/>
  <c r="U329" i="3" s="1"/>
  <c r="T328" i="3"/>
  <c r="U328" i="3" s="1"/>
  <c r="T327" i="3"/>
  <c r="U327" i="3" s="1"/>
  <c r="T326" i="3"/>
  <c r="U326" i="3" s="1"/>
  <c r="T325" i="3"/>
  <c r="U325" i="3" s="1"/>
  <c r="T324" i="3"/>
  <c r="U324" i="3" s="1"/>
  <c r="T323" i="3"/>
  <c r="U323" i="3" s="1"/>
  <c r="T322" i="3"/>
  <c r="U322" i="3" s="1"/>
  <c r="T321" i="3"/>
  <c r="U321" i="3" s="1"/>
  <c r="T320" i="3"/>
  <c r="U320" i="3" s="1"/>
  <c r="T319" i="3"/>
  <c r="U319" i="3" s="1"/>
  <c r="T318" i="3"/>
  <c r="U318" i="3" s="1"/>
  <c r="T317" i="3"/>
  <c r="U317" i="3" s="1"/>
  <c r="T316" i="3"/>
  <c r="U316" i="3" s="1"/>
  <c r="T315" i="3"/>
  <c r="U315" i="3" s="1"/>
  <c r="T314" i="3"/>
  <c r="U314" i="3" s="1"/>
  <c r="T313" i="3"/>
  <c r="U313" i="3" s="1"/>
  <c r="T312" i="3"/>
  <c r="U312" i="3" s="1"/>
  <c r="T311" i="3"/>
  <c r="U311" i="3" s="1"/>
  <c r="T310" i="3"/>
  <c r="U310" i="3" s="1"/>
  <c r="T309" i="3"/>
  <c r="U309" i="3" s="1"/>
  <c r="T308" i="3"/>
  <c r="U308" i="3" s="1"/>
  <c r="T307" i="3"/>
  <c r="U307" i="3" s="1"/>
  <c r="T306" i="3"/>
  <c r="U306" i="3" s="1"/>
  <c r="T305" i="3"/>
  <c r="U305" i="3" s="1"/>
  <c r="T304" i="3"/>
  <c r="U304" i="3" s="1"/>
  <c r="T303" i="3"/>
  <c r="U303" i="3" s="1"/>
  <c r="T302" i="3"/>
  <c r="U302" i="3" s="1"/>
  <c r="T301" i="3"/>
  <c r="U301" i="3" s="1"/>
  <c r="T300" i="3"/>
  <c r="U300" i="3" s="1"/>
  <c r="T299" i="3"/>
  <c r="U299" i="3" s="1"/>
  <c r="T298" i="3"/>
  <c r="U298" i="3" s="1"/>
  <c r="T297" i="3"/>
  <c r="U297" i="3" s="1"/>
  <c r="T296" i="3"/>
  <c r="U296" i="3" s="1"/>
  <c r="T295" i="3"/>
  <c r="U295" i="3" s="1"/>
  <c r="T294" i="3"/>
  <c r="U294" i="3" s="1"/>
  <c r="T293" i="3"/>
  <c r="U293" i="3" s="1"/>
  <c r="T292" i="3"/>
  <c r="U292" i="3" s="1"/>
  <c r="T291" i="3"/>
  <c r="U291" i="3" s="1"/>
  <c r="T290" i="3"/>
  <c r="U290" i="3" s="1"/>
  <c r="T289" i="3"/>
  <c r="U289" i="3" s="1"/>
  <c r="T288" i="3"/>
  <c r="U288" i="3" s="1"/>
  <c r="T287" i="3"/>
  <c r="U287" i="3" s="1"/>
  <c r="T286" i="3"/>
  <c r="U286" i="3" s="1"/>
  <c r="T285" i="3"/>
  <c r="U285" i="3" s="1"/>
  <c r="T284" i="3"/>
  <c r="U284" i="3" s="1"/>
  <c r="T283" i="3"/>
  <c r="U283" i="3" s="1"/>
  <c r="T282" i="3"/>
  <c r="U282" i="3" s="1"/>
  <c r="T281" i="3"/>
  <c r="U281" i="3" s="1"/>
  <c r="T280" i="3"/>
  <c r="U280" i="3" s="1"/>
  <c r="T279" i="3"/>
  <c r="U279" i="3" s="1"/>
  <c r="T278" i="3"/>
  <c r="U278" i="3" s="1"/>
  <c r="T277" i="3"/>
  <c r="U277" i="3" s="1"/>
  <c r="T276" i="3"/>
  <c r="U276" i="3" s="1"/>
  <c r="T275" i="3"/>
  <c r="U275" i="3" s="1"/>
  <c r="T274" i="3"/>
  <c r="U274" i="3" s="1"/>
  <c r="T273" i="3"/>
  <c r="U273" i="3" s="1"/>
  <c r="T272" i="3"/>
  <c r="U272" i="3" s="1"/>
  <c r="T271" i="3"/>
  <c r="U271" i="3" s="1"/>
  <c r="T270" i="3"/>
  <c r="U270" i="3" s="1"/>
  <c r="T269" i="3"/>
  <c r="U269" i="3" s="1"/>
  <c r="T268" i="3"/>
  <c r="U268" i="3" s="1"/>
  <c r="T267" i="3"/>
  <c r="U267" i="3" s="1"/>
  <c r="T266" i="3"/>
  <c r="U266" i="3" s="1"/>
  <c r="T265" i="3"/>
  <c r="U265" i="3" s="1"/>
  <c r="T264" i="3"/>
  <c r="U264" i="3" s="1"/>
  <c r="T263" i="3"/>
  <c r="U263" i="3" s="1"/>
  <c r="T262" i="3"/>
  <c r="U262" i="3" s="1"/>
  <c r="T261" i="3"/>
  <c r="U261" i="3" s="1"/>
  <c r="T260" i="3"/>
  <c r="U260" i="3" s="1"/>
  <c r="T259" i="3"/>
  <c r="U259" i="3" s="1"/>
  <c r="T258" i="3"/>
  <c r="U258" i="3" s="1"/>
  <c r="T257" i="3"/>
  <c r="U257" i="3" s="1"/>
  <c r="T256" i="3"/>
  <c r="U256" i="3" s="1"/>
  <c r="T255" i="3"/>
  <c r="U255" i="3" s="1"/>
  <c r="T254" i="3"/>
  <c r="U254" i="3" s="1"/>
  <c r="T253" i="3"/>
  <c r="U253" i="3" s="1"/>
  <c r="T252" i="3"/>
  <c r="U252" i="3" s="1"/>
  <c r="T251" i="3"/>
  <c r="U251" i="3" s="1"/>
  <c r="T250" i="3"/>
  <c r="U250" i="3" s="1"/>
  <c r="T249" i="3"/>
  <c r="U249" i="3" s="1"/>
  <c r="T248" i="3"/>
  <c r="U248" i="3" s="1"/>
  <c r="T247" i="3"/>
  <c r="U247" i="3" s="1"/>
  <c r="T246" i="3"/>
  <c r="U246" i="3" s="1"/>
  <c r="T245" i="3"/>
  <c r="U245" i="3" s="1"/>
  <c r="T244" i="3"/>
  <c r="U244" i="3" s="1"/>
  <c r="T243" i="3"/>
  <c r="U243" i="3" s="1"/>
  <c r="T242" i="3"/>
  <c r="U242" i="3" s="1"/>
  <c r="T241" i="3"/>
  <c r="U241" i="3" s="1"/>
  <c r="T240" i="3"/>
  <c r="U240" i="3" s="1"/>
  <c r="T239" i="3"/>
  <c r="U239" i="3" s="1"/>
  <c r="T238" i="3"/>
  <c r="U238" i="3" s="1"/>
  <c r="T237" i="3"/>
  <c r="U237" i="3" s="1"/>
  <c r="T236" i="3"/>
  <c r="U236" i="3" s="1"/>
  <c r="T235" i="3"/>
  <c r="U235" i="3" s="1"/>
  <c r="T234" i="3"/>
  <c r="U234" i="3" s="1"/>
  <c r="T233" i="3"/>
  <c r="U233" i="3" s="1"/>
  <c r="T232" i="3"/>
  <c r="U232" i="3" s="1"/>
  <c r="T231" i="3"/>
  <c r="U231" i="3" s="1"/>
  <c r="T230" i="3"/>
  <c r="U230" i="3" s="1"/>
  <c r="T229" i="3"/>
  <c r="U229" i="3" s="1"/>
  <c r="T228" i="3"/>
  <c r="U228" i="3" s="1"/>
  <c r="T227" i="3"/>
  <c r="U227" i="3" s="1"/>
  <c r="T226" i="3"/>
  <c r="U226" i="3" s="1"/>
  <c r="T225" i="3"/>
  <c r="U225" i="3" s="1"/>
  <c r="T224" i="3"/>
  <c r="U224" i="3" s="1"/>
  <c r="T223" i="3"/>
  <c r="U223" i="3" s="1"/>
  <c r="T222" i="3"/>
  <c r="U222" i="3" s="1"/>
  <c r="T221" i="3"/>
  <c r="U221" i="3" s="1"/>
  <c r="T220" i="3"/>
  <c r="U220" i="3" s="1"/>
  <c r="T219" i="3"/>
  <c r="U219" i="3" s="1"/>
  <c r="T218" i="3"/>
  <c r="U218" i="3" s="1"/>
  <c r="T217" i="3"/>
  <c r="U217" i="3" s="1"/>
  <c r="T216" i="3"/>
  <c r="U216" i="3" s="1"/>
  <c r="T215" i="3"/>
  <c r="U215" i="3" s="1"/>
  <c r="T214" i="3"/>
  <c r="U214" i="3" s="1"/>
  <c r="T213" i="3"/>
  <c r="U213" i="3" s="1"/>
  <c r="T212" i="3"/>
  <c r="U212" i="3" s="1"/>
  <c r="T211" i="3"/>
  <c r="U211" i="3" s="1"/>
  <c r="T210" i="3"/>
  <c r="U210" i="3" s="1"/>
  <c r="T209" i="3"/>
  <c r="U209" i="3" s="1"/>
  <c r="T208" i="3"/>
  <c r="U208" i="3" s="1"/>
  <c r="T207" i="3"/>
  <c r="U207" i="3" s="1"/>
  <c r="T206" i="3"/>
  <c r="U206" i="3" s="1"/>
  <c r="T205" i="3"/>
  <c r="U205" i="3" s="1"/>
  <c r="T204" i="3"/>
  <c r="U204" i="3" s="1"/>
  <c r="T203" i="3"/>
  <c r="U203" i="3" s="1"/>
  <c r="T202" i="3"/>
  <c r="U202" i="3" s="1"/>
  <c r="T201" i="3"/>
  <c r="U201" i="3" s="1"/>
  <c r="T200" i="3"/>
  <c r="U200" i="3" s="1"/>
  <c r="T199" i="3"/>
  <c r="U199" i="3" s="1"/>
  <c r="T198" i="3"/>
  <c r="U198" i="3" s="1"/>
  <c r="T197" i="3"/>
  <c r="U197" i="3" s="1"/>
  <c r="T196" i="3"/>
  <c r="U196" i="3" s="1"/>
  <c r="T195" i="3"/>
  <c r="U195" i="3" s="1"/>
  <c r="T194" i="3"/>
  <c r="U194" i="3" s="1"/>
  <c r="T193" i="3"/>
  <c r="U193" i="3" s="1"/>
  <c r="T192" i="3"/>
  <c r="U192" i="3" s="1"/>
  <c r="T191" i="3"/>
  <c r="U191" i="3" s="1"/>
  <c r="T190" i="3"/>
  <c r="U190" i="3" s="1"/>
  <c r="T189" i="3"/>
  <c r="U189" i="3" s="1"/>
  <c r="T188" i="3"/>
  <c r="U188" i="3" s="1"/>
  <c r="T187" i="3"/>
  <c r="U187" i="3" s="1"/>
  <c r="T186" i="3"/>
  <c r="U186" i="3" s="1"/>
  <c r="T185" i="3"/>
  <c r="U185" i="3" s="1"/>
  <c r="T184" i="3"/>
  <c r="U184" i="3" s="1"/>
  <c r="T183" i="3"/>
  <c r="U183" i="3" s="1"/>
  <c r="T182" i="3"/>
  <c r="U182" i="3" s="1"/>
  <c r="T181" i="3"/>
  <c r="U181" i="3" s="1"/>
  <c r="T180" i="3"/>
  <c r="U180" i="3" s="1"/>
  <c r="T179" i="3"/>
  <c r="U179" i="3" s="1"/>
  <c r="T178" i="3"/>
  <c r="U178" i="3" s="1"/>
  <c r="T177" i="3"/>
  <c r="U177" i="3" s="1"/>
  <c r="T176" i="3"/>
  <c r="U176" i="3" s="1"/>
  <c r="T175" i="3"/>
  <c r="U175" i="3" s="1"/>
  <c r="T174" i="3"/>
  <c r="U174" i="3" s="1"/>
  <c r="T173" i="3"/>
  <c r="U173" i="3" s="1"/>
  <c r="T172" i="3"/>
  <c r="U172" i="3" s="1"/>
  <c r="T171" i="3"/>
  <c r="U171" i="3" s="1"/>
  <c r="T170" i="3"/>
  <c r="U170" i="3" s="1"/>
  <c r="T169" i="3"/>
  <c r="U169" i="3" s="1"/>
  <c r="T168" i="3"/>
  <c r="U168" i="3" s="1"/>
  <c r="T167" i="3"/>
  <c r="U167" i="3" s="1"/>
  <c r="T166" i="3"/>
  <c r="U166" i="3" s="1"/>
  <c r="T165" i="3"/>
  <c r="U165" i="3" s="1"/>
  <c r="T164" i="3"/>
  <c r="U164" i="3" s="1"/>
  <c r="T163" i="3"/>
  <c r="U163" i="3" s="1"/>
  <c r="T162" i="3"/>
  <c r="U162" i="3" s="1"/>
  <c r="T161" i="3"/>
  <c r="U161" i="3" s="1"/>
  <c r="T160" i="3"/>
  <c r="U160" i="3" s="1"/>
  <c r="T159" i="3"/>
  <c r="U159" i="3" s="1"/>
  <c r="T158" i="3"/>
  <c r="U158" i="3" s="1"/>
  <c r="T157" i="3"/>
  <c r="U157" i="3" s="1"/>
  <c r="T156" i="3"/>
  <c r="U156" i="3" s="1"/>
  <c r="T155" i="3"/>
  <c r="U155" i="3" s="1"/>
  <c r="T154" i="3"/>
  <c r="U154" i="3" s="1"/>
  <c r="T153" i="3"/>
  <c r="U153" i="3" s="1"/>
  <c r="T152" i="3"/>
  <c r="U152" i="3" s="1"/>
  <c r="T151" i="3"/>
  <c r="U151" i="3" s="1"/>
  <c r="T150" i="3"/>
  <c r="U150" i="3" s="1"/>
  <c r="T149" i="3"/>
  <c r="U149" i="3" s="1"/>
  <c r="T148" i="3"/>
  <c r="U148" i="3" s="1"/>
  <c r="T147" i="3"/>
  <c r="U147" i="3" s="1"/>
  <c r="T146" i="3"/>
  <c r="U146" i="3" s="1"/>
  <c r="T145" i="3"/>
  <c r="U145" i="3" s="1"/>
  <c r="T144" i="3"/>
  <c r="U144" i="3" s="1"/>
  <c r="T143" i="3"/>
  <c r="U143" i="3" s="1"/>
  <c r="T142" i="3"/>
  <c r="U142" i="3" s="1"/>
  <c r="T141" i="3"/>
  <c r="U141" i="3" s="1"/>
  <c r="T140" i="3"/>
  <c r="U140" i="3" s="1"/>
  <c r="T139" i="3"/>
  <c r="U139" i="3" s="1"/>
  <c r="T138" i="3"/>
  <c r="U138" i="3" s="1"/>
  <c r="T137" i="3"/>
  <c r="U137" i="3" s="1"/>
  <c r="T136" i="3"/>
  <c r="U136" i="3" s="1"/>
  <c r="T135" i="3"/>
  <c r="U135" i="3" s="1"/>
  <c r="T134" i="3"/>
  <c r="U134" i="3" s="1"/>
  <c r="T133" i="3"/>
  <c r="U133" i="3" s="1"/>
  <c r="T132" i="3"/>
  <c r="U132" i="3" s="1"/>
  <c r="T131" i="3"/>
  <c r="U131" i="3" s="1"/>
  <c r="T130" i="3"/>
  <c r="U130" i="3" s="1"/>
  <c r="T129" i="3"/>
  <c r="U129" i="3" s="1"/>
  <c r="T128" i="3"/>
  <c r="U128" i="3" s="1"/>
  <c r="T127" i="3"/>
  <c r="U127" i="3" s="1"/>
  <c r="T126" i="3"/>
  <c r="U126" i="3" s="1"/>
  <c r="T125" i="3"/>
  <c r="U125" i="3" s="1"/>
  <c r="T124" i="3"/>
  <c r="U124" i="3" s="1"/>
  <c r="T123" i="3"/>
  <c r="U123" i="3" s="1"/>
  <c r="T122" i="3"/>
  <c r="U122" i="3" s="1"/>
  <c r="T121" i="3"/>
  <c r="U121" i="3" s="1"/>
  <c r="T120" i="3"/>
  <c r="U120" i="3" s="1"/>
  <c r="T119" i="3"/>
  <c r="U119" i="3" s="1"/>
  <c r="T118" i="3"/>
  <c r="U118" i="3" s="1"/>
  <c r="T117" i="3"/>
  <c r="U117" i="3" s="1"/>
  <c r="T116" i="3"/>
  <c r="U116" i="3" s="1"/>
  <c r="T115" i="3"/>
  <c r="U115" i="3" s="1"/>
  <c r="T114" i="3"/>
  <c r="U114" i="3" s="1"/>
  <c r="T113" i="3"/>
  <c r="U113" i="3" s="1"/>
  <c r="T112" i="3"/>
  <c r="U112" i="3" s="1"/>
  <c r="T111" i="3"/>
  <c r="U111" i="3" s="1"/>
  <c r="T110" i="3"/>
  <c r="U110" i="3" s="1"/>
  <c r="T109" i="3"/>
  <c r="U109" i="3" s="1"/>
  <c r="T108" i="3"/>
  <c r="U108" i="3" s="1"/>
  <c r="T107" i="3"/>
  <c r="U107" i="3" s="1"/>
  <c r="T106" i="3"/>
  <c r="U106" i="3" s="1"/>
  <c r="T105" i="3"/>
  <c r="U105" i="3" s="1"/>
  <c r="T104" i="3"/>
  <c r="U104" i="3" s="1"/>
  <c r="T103" i="3"/>
  <c r="U103" i="3" s="1"/>
  <c r="T102" i="3"/>
  <c r="U102" i="3" s="1"/>
  <c r="T101" i="3"/>
  <c r="U101" i="3" s="1"/>
  <c r="T100" i="3"/>
  <c r="U100" i="3" s="1"/>
  <c r="T99" i="3"/>
  <c r="U99" i="3" s="1"/>
  <c r="T98" i="3"/>
  <c r="U98" i="3" s="1"/>
  <c r="T97" i="3"/>
  <c r="U97" i="3" s="1"/>
  <c r="T96" i="3"/>
  <c r="U96" i="3" s="1"/>
  <c r="T95" i="3"/>
  <c r="U95" i="3" s="1"/>
  <c r="T94" i="3"/>
  <c r="U94" i="3" s="1"/>
  <c r="T93" i="3"/>
  <c r="U93" i="3" s="1"/>
  <c r="T92" i="3"/>
  <c r="U92" i="3" s="1"/>
  <c r="T91" i="3"/>
  <c r="U91" i="3" s="1"/>
  <c r="T90" i="3"/>
  <c r="U90" i="3" s="1"/>
  <c r="T89" i="3"/>
  <c r="U89" i="3" s="1"/>
  <c r="T88" i="3"/>
  <c r="U88" i="3" s="1"/>
  <c r="T87" i="3"/>
  <c r="U87" i="3" s="1"/>
  <c r="T86" i="3"/>
  <c r="U86" i="3" s="1"/>
  <c r="T85" i="3"/>
  <c r="U85" i="3" s="1"/>
  <c r="T84" i="3"/>
  <c r="U84" i="3" s="1"/>
  <c r="T83" i="3"/>
  <c r="U83" i="3" s="1"/>
  <c r="U82" i="3"/>
  <c r="T82" i="3"/>
  <c r="T81" i="3"/>
  <c r="U81" i="3" s="1"/>
  <c r="T80" i="3"/>
  <c r="U80" i="3" s="1"/>
  <c r="T79" i="3"/>
  <c r="U79" i="3" s="1"/>
  <c r="T78" i="3"/>
  <c r="U78" i="3" s="1"/>
  <c r="T77" i="3"/>
  <c r="U77" i="3" s="1"/>
  <c r="T76" i="3"/>
  <c r="U76" i="3" s="1"/>
  <c r="T75" i="3"/>
  <c r="U75" i="3" s="1"/>
  <c r="U74" i="3"/>
  <c r="T74" i="3"/>
  <c r="T73" i="3"/>
  <c r="U73" i="3" s="1"/>
  <c r="T72" i="3"/>
  <c r="U72" i="3" s="1"/>
  <c r="T71" i="3"/>
  <c r="U71" i="3" s="1"/>
  <c r="U70" i="3"/>
  <c r="T70" i="3"/>
  <c r="T69" i="3"/>
  <c r="U69" i="3" s="1"/>
  <c r="T68" i="3"/>
  <c r="U68" i="3" s="1"/>
  <c r="T67" i="3"/>
  <c r="U67" i="3" s="1"/>
  <c r="U66" i="3"/>
  <c r="T66" i="3"/>
  <c r="T65" i="3"/>
  <c r="U65" i="3" s="1"/>
  <c r="T64" i="3"/>
  <c r="U64" i="3" s="1"/>
  <c r="T63" i="3"/>
  <c r="U63" i="3" s="1"/>
  <c r="T62" i="3"/>
  <c r="U62" i="3" s="1"/>
  <c r="T61" i="3"/>
  <c r="U61" i="3" s="1"/>
  <c r="T60" i="3"/>
  <c r="U60" i="3" s="1"/>
  <c r="T59" i="3"/>
  <c r="U59" i="3" s="1"/>
  <c r="T58" i="3"/>
  <c r="U58" i="3" s="1"/>
  <c r="T57" i="3"/>
  <c r="U57" i="3" s="1"/>
  <c r="T56" i="3"/>
  <c r="U56" i="3" s="1"/>
  <c r="T55" i="3"/>
  <c r="U55" i="3" s="1"/>
  <c r="T54" i="3"/>
  <c r="U54" i="3" s="1"/>
  <c r="T53" i="3"/>
  <c r="U53" i="3" s="1"/>
  <c r="T52" i="3"/>
  <c r="U52" i="3" s="1"/>
  <c r="T51" i="3"/>
  <c r="U51" i="3" s="1"/>
  <c r="U50" i="3"/>
  <c r="T50" i="3"/>
  <c r="T49" i="3"/>
  <c r="U49" i="3" s="1"/>
  <c r="T48" i="3"/>
  <c r="U48" i="3" s="1"/>
  <c r="T47" i="3"/>
  <c r="U47" i="3" s="1"/>
  <c r="T46" i="3"/>
  <c r="U46" i="3" s="1"/>
  <c r="T45" i="3"/>
  <c r="U45" i="3" s="1"/>
  <c r="T44" i="3"/>
  <c r="U44" i="3" s="1"/>
  <c r="T43" i="3"/>
  <c r="U43" i="3" s="1"/>
  <c r="U42" i="3"/>
  <c r="T42" i="3"/>
  <c r="T41" i="3"/>
  <c r="U41" i="3" s="1"/>
  <c r="T40" i="3"/>
  <c r="U40" i="3" s="1"/>
  <c r="T39" i="3"/>
  <c r="U39" i="3" s="1"/>
  <c r="U38" i="3"/>
  <c r="T38" i="3"/>
  <c r="T37" i="3"/>
  <c r="U37" i="3" s="1"/>
  <c r="T36" i="3"/>
  <c r="U36" i="3" s="1"/>
  <c r="T35" i="3"/>
  <c r="U35" i="3" s="1"/>
  <c r="U34" i="3"/>
  <c r="T34" i="3"/>
  <c r="T33" i="3"/>
  <c r="U33" i="3" s="1"/>
  <c r="T32" i="3"/>
  <c r="U32" i="3" s="1"/>
  <c r="T31" i="3"/>
  <c r="U31" i="3" s="1"/>
  <c r="T30" i="3"/>
  <c r="U30" i="3" s="1"/>
  <c r="T29" i="3"/>
  <c r="U29" i="3" s="1"/>
  <c r="T28" i="3"/>
  <c r="U28" i="3" s="1"/>
  <c r="T27" i="3"/>
  <c r="U27" i="3" s="1"/>
  <c r="T26" i="3"/>
  <c r="U26" i="3" s="1"/>
  <c r="T25" i="3"/>
  <c r="U25" i="3" s="1"/>
  <c r="T24" i="3"/>
  <c r="U24" i="3" s="1"/>
  <c r="T23" i="3"/>
  <c r="U23" i="3" s="1"/>
  <c r="T22" i="3"/>
  <c r="U22" i="3" s="1"/>
  <c r="T21" i="3"/>
  <c r="U21" i="3" s="1"/>
  <c r="T20" i="3"/>
  <c r="U20" i="3" s="1"/>
  <c r="T19" i="3"/>
  <c r="U19" i="3" s="1"/>
  <c r="U18" i="3"/>
  <c r="T18" i="3"/>
  <c r="T17" i="3"/>
  <c r="U17" i="3" s="1"/>
  <c r="T16" i="3"/>
  <c r="U16" i="3" s="1"/>
  <c r="T15" i="3"/>
  <c r="U15" i="3" s="1"/>
  <c r="T14" i="3"/>
  <c r="U14" i="3" s="1"/>
  <c r="T13" i="3"/>
  <c r="U13" i="3" s="1"/>
  <c r="T12" i="3"/>
  <c r="U12" i="3" s="1"/>
  <c r="T11" i="3"/>
  <c r="U11" i="3" s="1"/>
  <c r="U10" i="3"/>
  <c r="T10" i="3"/>
  <c r="T9" i="3"/>
  <c r="U9" i="3" s="1"/>
  <c r="T8" i="3"/>
  <c r="U8" i="3" s="1"/>
  <c r="T7" i="3"/>
  <c r="U7" i="3" s="1"/>
  <c r="T6" i="3"/>
  <c r="U6" i="3" s="1"/>
  <c r="T5" i="3"/>
  <c r="U5" i="3" s="1"/>
  <c r="T4" i="3"/>
  <c r="U4" i="3" s="1"/>
  <c r="T3" i="3"/>
  <c r="U3" i="3" s="1"/>
  <c r="U2" i="3"/>
  <c r="T2" i="3"/>
  <c r="AR10" i="2"/>
  <c r="AQ10" i="2"/>
  <c r="AP10" i="2"/>
  <c r="AO10" i="2"/>
  <c r="AN10" i="2"/>
  <c r="AM10" i="2"/>
  <c r="AL10" i="2"/>
  <c r="AK10" i="2"/>
  <c r="AH10" i="2"/>
  <c r="I9" i="2" s="1"/>
  <c r="AJ10" i="2" s="1"/>
  <c r="AG10" i="2"/>
  <c r="AF10" i="2"/>
  <c r="AE10" i="2"/>
  <c r="AD10" i="2"/>
  <c r="AC10" i="2"/>
  <c r="AR9" i="2"/>
  <c r="AQ9" i="2"/>
  <c r="AP9" i="2"/>
  <c r="AO9" i="2"/>
  <c r="AN9" i="2"/>
  <c r="AM9" i="2"/>
  <c r="AL9" i="2"/>
  <c r="AK9" i="2"/>
  <c r="AJ9" i="2"/>
  <c r="AI9" i="2"/>
  <c r="AG9" i="2"/>
  <c r="AF9" i="2"/>
  <c r="AE9" i="2"/>
  <c r="AD9" i="2"/>
  <c r="AC9" i="2"/>
  <c r="AB9" i="2"/>
  <c r="AB10" i="2"/>
  <c r="B38" i="1"/>
  <c r="X12" i="1"/>
  <c r="X2" i="1"/>
  <c r="H9" i="2" l="1"/>
  <c r="AI10" i="2" s="1"/>
  <c r="X3" i="1"/>
  <c r="AA10" i="2"/>
  <c r="I3" i="2"/>
  <c r="X14" i="1" l="1"/>
  <c r="AB23" i="1" s="1"/>
  <c r="AA30" i="1"/>
  <c r="AA10" i="1"/>
  <c r="AA34" i="1"/>
  <c r="AA33" i="1"/>
  <c r="AA49" i="1"/>
  <c r="AA31" i="1"/>
  <c r="AA12" i="1"/>
  <c r="AA4" i="1"/>
  <c r="X13" i="1"/>
  <c r="AA17" i="1"/>
  <c r="X11" i="1"/>
  <c r="B5" i="1" s="1"/>
  <c r="AB33" i="1"/>
  <c r="AB41" i="1"/>
  <c r="AA24" i="1"/>
  <c r="AA22" i="1"/>
  <c r="AA2" i="1"/>
  <c r="AA46" i="1"/>
  <c r="AA48" i="1"/>
  <c r="AB36" i="1"/>
  <c r="AA35" i="1"/>
  <c r="AA51" i="1"/>
  <c r="AA45" i="1"/>
  <c r="AB29" i="1"/>
  <c r="AA9" i="1"/>
  <c r="AA36" i="1"/>
  <c r="AA19" i="1"/>
  <c r="AB39" i="1"/>
  <c r="AA38" i="1"/>
  <c r="AA29" i="1"/>
  <c r="AA47" i="1"/>
  <c r="AA27" i="1"/>
  <c r="AA5" i="1"/>
  <c r="AA16" i="1"/>
  <c r="AB18" i="1"/>
  <c r="AA6" i="1"/>
  <c r="AB25" i="1"/>
  <c r="X8" i="1"/>
  <c r="AE3" i="1" s="1"/>
  <c r="AB19" i="1"/>
  <c r="AB32" i="1"/>
  <c r="AB8" i="1"/>
  <c r="AA14" i="1"/>
  <c r="AA7" i="1"/>
  <c r="AA39" i="1"/>
  <c r="AA41" i="1"/>
  <c r="AB16" i="1"/>
  <c r="AB4" i="1"/>
  <c r="AB47" i="1"/>
  <c r="AA42" i="1"/>
  <c r="AB9" i="1"/>
  <c r="AB22" i="1"/>
  <c r="AA26" i="1"/>
  <c r="AA11" i="1"/>
  <c r="AB34" i="1"/>
  <c r="AA15" i="1"/>
  <c r="AA3" i="1"/>
  <c r="AB28" i="1"/>
  <c r="AA37" i="1"/>
  <c r="AA23" i="1"/>
  <c r="AB42" i="1"/>
  <c r="AB14" i="1"/>
  <c r="AB49" i="1"/>
  <c r="AA20" i="1"/>
  <c r="AB31" i="1"/>
  <c r="AA50" i="1"/>
  <c r="X4" i="1"/>
  <c r="H40" i="1" s="1"/>
  <c r="AB2" i="1"/>
  <c r="AA28" i="1"/>
  <c r="AB7" i="1"/>
  <c r="AA25" i="1"/>
  <c r="N40" i="1"/>
  <c r="AA8" i="1"/>
  <c r="AA32" i="1"/>
  <c r="AA13" i="1"/>
  <c r="AB11" i="1"/>
  <c r="AB44" i="1"/>
  <c r="AA43" i="1"/>
  <c r="AA21" i="1"/>
  <c r="AA40" i="1"/>
  <c r="AB38" i="1"/>
  <c r="AA44" i="1"/>
  <c r="AA18" i="1"/>
  <c r="AB24" i="1" l="1"/>
  <c r="AB5" i="1"/>
  <c r="AB27" i="1"/>
  <c r="AB21" i="1"/>
  <c r="AB20" i="1"/>
  <c r="AB46" i="1"/>
  <c r="AB3" i="1"/>
  <c r="AB43" i="1"/>
  <c r="AB10" i="1"/>
  <c r="X6" i="1"/>
  <c r="AC8" i="1" s="1"/>
  <c r="AB45" i="1"/>
  <c r="AB48" i="1"/>
  <c r="AB51" i="1"/>
  <c r="AB30" i="1"/>
  <c r="X7" i="1"/>
  <c r="AD35" i="1" s="1"/>
  <c r="AB40" i="1"/>
  <c r="AE17" i="1"/>
  <c r="AB26" i="1"/>
  <c r="AB50" i="1"/>
  <c r="AB17" i="1"/>
  <c r="AB6" i="1"/>
  <c r="AB12" i="1"/>
  <c r="AB37" i="1"/>
  <c r="AB13" i="1"/>
  <c r="AB35" i="1"/>
  <c r="AB15" i="1"/>
  <c r="AE18" i="1"/>
  <c r="AE36" i="1"/>
  <c r="AE11" i="1"/>
  <c r="AE38" i="1"/>
  <c r="AE34" i="1"/>
  <c r="AE43" i="1"/>
  <c r="AE14" i="1"/>
  <c r="AE45" i="1"/>
  <c r="AE39" i="1"/>
  <c r="AE51" i="1"/>
  <c r="AE46" i="1"/>
  <c r="AE37" i="1"/>
  <c r="AE6" i="1"/>
  <c r="AE50" i="1"/>
  <c r="AE41" i="1"/>
  <c r="AE26" i="1"/>
  <c r="AE47" i="1"/>
  <c r="AE7" i="1"/>
  <c r="AE33" i="1"/>
  <c r="AE25" i="1"/>
  <c r="AE4" i="1"/>
  <c r="AE20" i="1"/>
  <c r="AE13" i="1"/>
  <c r="AE21" i="1"/>
  <c r="AE10" i="1"/>
  <c r="AE12" i="1"/>
  <c r="AE23" i="1"/>
  <c r="AE5" i="1"/>
  <c r="AE15" i="1"/>
  <c r="AE24" i="1"/>
  <c r="AE2" i="1"/>
  <c r="X5" i="1"/>
  <c r="F40" i="1" s="1"/>
  <c r="AE32" i="1"/>
  <c r="AE8" i="1"/>
  <c r="AE31" i="1"/>
  <c r="AE42" i="1"/>
  <c r="AE30" i="1"/>
  <c r="AE40" i="1"/>
  <c r="AE22" i="1"/>
  <c r="AE16" i="1"/>
  <c r="AE29" i="1"/>
  <c r="AE27" i="1"/>
  <c r="AE48" i="1"/>
  <c r="AE19" i="1"/>
  <c r="AE28" i="1"/>
  <c r="AE49" i="1"/>
  <c r="AE9" i="1"/>
  <c r="AE44" i="1"/>
  <c r="AE35" i="1"/>
  <c r="AC51" i="1" l="1"/>
  <c r="AC43" i="1"/>
  <c r="AC44" i="1"/>
  <c r="AC22" i="1"/>
  <c r="AC48" i="1"/>
  <c r="AC18" i="1"/>
  <c r="AC6" i="1"/>
  <c r="AC32" i="1"/>
  <c r="AC30" i="1"/>
  <c r="AC41" i="1"/>
  <c r="AC9" i="1"/>
  <c r="AC40" i="1"/>
  <c r="AC5" i="1"/>
  <c r="AC42" i="1"/>
  <c r="AC12" i="1"/>
  <c r="AC45" i="1"/>
  <c r="AC13" i="1"/>
  <c r="AC24" i="1"/>
  <c r="AC50" i="1"/>
  <c r="AC14" i="1"/>
  <c r="AC27" i="1"/>
  <c r="AC20" i="1"/>
  <c r="AC46" i="1"/>
  <c r="AC25" i="1"/>
  <c r="AC23" i="1"/>
  <c r="AC49" i="1"/>
  <c r="AC28" i="1"/>
  <c r="AC31" i="1"/>
  <c r="AC21" i="1"/>
  <c r="AC47" i="1"/>
  <c r="AC39" i="1"/>
  <c r="AC19" i="1"/>
  <c r="AC34" i="1"/>
  <c r="AC37" i="1"/>
  <c r="AC7" i="1"/>
  <c r="AC36" i="1"/>
  <c r="AC3" i="1"/>
  <c r="AC2" i="1"/>
  <c r="AD48" i="1"/>
  <c r="AD43" i="1"/>
  <c r="AD50" i="1"/>
  <c r="AD24" i="1"/>
  <c r="AD22" i="1"/>
  <c r="AD14" i="1"/>
  <c r="AD37" i="1"/>
  <c r="AD36" i="1"/>
  <c r="AD51" i="1"/>
  <c r="AD25" i="1"/>
  <c r="AD13" i="1"/>
  <c r="AD31" i="1"/>
  <c r="AD46" i="1"/>
  <c r="AC11" i="1"/>
  <c r="AD34" i="1"/>
  <c r="AC35" i="1"/>
  <c r="AC33" i="1"/>
  <c r="AC15" i="1"/>
  <c r="AC4" i="1"/>
  <c r="AD18" i="1"/>
  <c r="AD45" i="1"/>
  <c r="AD15" i="1"/>
  <c r="J40" i="1"/>
  <c r="AC26" i="1"/>
  <c r="AC38" i="1"/>
  <c r="AD27" i="1"/>
  <c r="AC29" i="1"/>
  <c r="AC17" i="1"/>
  <c r="AC10" i="1"/>
  <c r="AC16" i="1"/>
  <c r="AD6" i="1"/>
  <c r="AD32" i="1"/>
  <c r="AD2" i="1"/>
  <c r="AD29" i="1"/>
  <c r="AD8" i="1"/>
  <c r="AD40" i="1"/>
  <c r="AD10" i="1"/>
  <c r="AD7" i="1"/>
  <c r="AD17" i="1"/>
  <c r="AD20" i="1"/>
  <c r="AD33" i="1"/>
  <c r="AD49" i="1"/>
  <c r="L40" i="1"/>
  <c r="AD44" i="1"/>
  <c r="AD5" i="1"/>
  <c r="AD30" i="1"/>
  <c r="AD38" i="1"/>
  <c r="AD42" i="1"/>
  <c r="AD47" i="1"/>
  <c r="AD3" i="1"/>
  <c r="AD39" i="1"/>
  <c r="AD26" i="1"/>
  <c r="AD19" i="1"/>
  <c r="AD23" i="1"/>
  <c r="AD21" i="1"/>
  <c r="AD41" i="1"/>
  <c r="AD11" i="1"/>
  <c r="AD4" i="1"/>
  <c r="AD12" i="1"/>
  <c r="AD9" i="1"/>
  <c r="AD28" i="1"/>
  <c r="AD16" i="1"/>
  <c r="X9" i="1"/>
  <c r="B40" i="1" s="1"/>
  <c r="X10" i="1"/>
  <c r="D4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tc={27A2D2B4-6EA1-4A20-A4F0-BE702ED8A832}</author>
    <author>tc={CB1C100C-9D02-436C-962A-BC75FA8A6339}</author>
  </authors>
  <commentList>
    <comment ref="K8" authorId="0" shapeId="0" xr:uid="{27A2D2B4-6EA1-4A20-A4F0-BE702ED8A83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SI NO HAY SCRAP DEJAR “  0  ”
MAX 20 un.</t>
      </text>
    </comment>
    <comment ref="L8" authorId="1" shapeId="0" xr:uid="{CB1C100C-9D02-436C-962A-BC75FA8A633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Registrar en último control horario cantidad total x TIPO PLACA (todo OK + NO OK). 
Ej CLASICAS:
Horario:   13:00           Total:  400</t>
      </text>
    </comment>
  </commentList>
</comments>
</file>

<file path=xl/sharedStrings.xml><?xml version="1.0" encoding="utf-8"?>
<sst xmlns="http://schemas.openxmlformats.org/spreadsheetml/2006/main" count="3866" uniqueCount="508">
  <si>
    <t>CALCULO INDICES Cp y Cpk</t>
  </si>
  <si>
    <t>N°</t>
  </si>
  <si>
    <t>Peso (gr)</t>
  </si>
  <si>
    <t>LCS</t>
  </si>
  <si>
    <t>LCI</t>
  </si>
  <si>
    <t>Nominal</t>
  </si>
  <si>
    <t>Tipo de Placa / Modelo:</t>
  </si>
  <si>
    <t>CLÁSICAS</t>
  </si>
  <si>
    <t>Placa seleccionada</t>
  </si>
  <si>
    <t>Media (m)</t>
  </si>
  <si>
    <t>Desviación Estándar (s)</t>
  </si>
  <si>
    <t>LCS (prom. Peso máximo)</t>
  </si>
  <si>
    <t>LCI (prom. Peso mínimo)</t>
  </si>
  <si>
    <t>Nominal/Óptimo (prom. Peso STD)</t>
  </si>
  <si>
    <t>Cp</t>
  </si>
  <si>
    <t>Cpk</t>
  </si>
  <si>
    <t>Mensaje de advertencia</t>
  </si>
  <si>
    <t>Desv. Estándar (s)</t>
  </si>
  <si>
    <t>Tamaño de Muestra (n)</t>
  </si>
  <si>
    <t>CHECKLIS DE CONTROL DE PESOS - CONTROL VISUAL y SCRAP de PLACAS VISCO - ALMOHADAS</t>
  </si>
  <si>
    <t>Equipo:</t>
  </si>
  <si>
    <t>Inyectora Afro+Carrusel</t>
  </si>
  <si>
    <t>FO-ALH-025</t>
  </si>
  <si>
    <t>Mes:</t>
  </si>
  <si>
    <t>Revisión: 03</t>
  </si>
  <si>
    <t>Planta Capilla</t>
  </si>
  <si>
    <t>Revisión: 01/09/26</t>
  </si>
  <si>
    <t>Celdas para completar con datos.</t>
  </si>
  <si>
    <t>Exceso peso</t>
  </si>
  <si>
    <t>Livianas</t>
  </si>
  <si>
    <t>Fecha</t>
  </si>
  <si>
    <t>Responsable</t>
  </si>
  <si>
    <t>turno (M/T)</t>
  </si>
  <si>
    <t>Placa</t>
  </si>
  <si>
    <t>Horario</t>
  </si>
  <si>
    <t>Peso mínimo</t>
  </si>
  <si>
    <t>Peso máximo</t>
  </si>
  <si>
    <t>SCRAP (Cant. Placas)</t>
  </si>
  <si>
    <t>Total (Cant. Placas)</t>
  </si>
  <si>
    <t>OTRO 1</t>
  </si>
  <si>
    <t>TM</t>
  </si>
  <si>
    <t>Código</t>
  </si>
  <si>
    <t>Peso STD (gr)</t>
  </si>
  <si>
    <t>Control visual placas:</t>
  </si>
  <si>
    <t>GEOMETRÍA</t>
  </si>
  <si>
    <t>OK</t>
  </si>
  <si>
    <t>BURBUJAS DE AIRE</t>
  </si>
  <si>
    <t>AUSENCIA DE COLOR VIOLETA</t>
  </si>
  <si>
    <t>OTRO (aclarar observaciones)</t>
  </si>
  <si>
    <t>EXCESO DE DESMOLDANTE</t>
  </si>
  <si>
    <t>NO OK</t>
  </si>
  <si>
    <t>Observaciones:</t>
  </si>
  <si>
    <t>* Favor realizar el control visual y control de peso de las placas al inicio del turno (arranque) y luego cada hora (mínimo 8 controles/pesaje por tipo de placa por turno).</t>
  </si>
  <si>
    <t>* Si se detectan desvíos en los pesos de las placas y/o defectos se debe informar al supervisor y CALIBRAR el equipo hasta lograr PESOS dentro de ESPECIFICACIÓN/placas CONFORMES.</t>
  </si>
  <si>
    <t>* SCRAP: Cargar en las celdas el TOTAL de placas no conformes (NC) descartadas por turno, por MOLDE; al finalizar el turno registrar el total de placas inyectadas conformes (C) TOTAL por MOLDES . Para el cálculo de % scrap se sumarán los NC+C.  Con placas NC &gt; a 8 unidades diarias totales informar desvío al supervisor.</t>
  </si>
  <si>
    <t>Rank(aux)</t>
  </si>
  <si>
    <t>Key(aux)</t>
  </si>
  <si>
    <t>46239SALINAS G.TMCLÁSICAS0,375</t>
  </si>
  <si>
    <t>SALINAS G.</t>
  </si>
  <si>
    <t>46239SALINAS G.TMCERVICALES0,375</t>
  </si>
  <si>
    <t>CERVICALES</t>
  </si>
  <si>
    <t>46239SALINAS G.TMTHERMOSENSE0,375</t>
  </si>
  <si>
    <t>THERMOSENSE</t>
  </si>
  <si>
    <t>46239SALINAS G.TMTHERMOSENSE0,416666666666667</t>
  </si>
  <si>
    <t>46239SALINAS G.TMCLÁSICAS0,416666666666667</t>
  </si>
  <si>
    <t>46239SALINAS G.TMCERVICALES0,416666666666667</t>
  </si>
  <si>
    <t>46239SALINAS G.TMCERVICALES0,458333333333333</t>
  </si>
  <si>
    <t>46239SALINAS G.TMCLÁSICAS0,458333333333333</t>
  </si>
  <si>
    <t>46239SALINAS G.TMTHERMOSENSE0,458333333333333</t>
  </si>
  <si>
    <t>46239SALINAS G.TMTHERMOSENSE0,5</t>
  </si>
  <si>
    <t>46239SALINAS G.TMCLÁSICAS0,5</t>
  </si>
  <si>
    <t>46239SALINAS G.TMCERVICALES0,5</t>
  </si>
  <si>
    <t>46240SALINAS G.TMCERVICALES0,333333333333333</t>
  </si>
  <si>
    <t>46240SALINAS G.TMCLÁSICAS0,333333333333333</t>
  </si>
  <si>
    <t>46240SALINAS G.TMTHERMOSENSE0,333333333333333</t>
  </si>
  <si>
    <t>46240SALINAS G.TMTHERMOSENSE0,375</t>
  </si>
  <si>
    <t>46240SALINAS G.TMCLÁSICAS0,375</t>
  </si>
  <si>
    <t>46240SALINAS G.TMCERVICALES0,375</t>
  </si>
  <si>
    <t>46240SALINAS G.TMCERVICALES0,416666666666667</t>
  </si>
  <si>
    <t>46240SALINAS G.TMCLÁSICAS0,416666666666667</t>
  </si>
  <si>
    <t>46240SALINAS G.TMTHERMOSENSE0,416666666666667</t>
  </si>
  <si>
    <t>46240SALINAS G.TMTHERMOSENSE0,458333333333333</t>
  </si>
  <si>
    <t>46240SALINAS G.TMCLÁSICAS0,458333333333333</t>
  </si>
  <si>
    <t>46240SALINAS G.TMCERVICALES0,458333333333333</t>
  </si>
  <si>
    <t>46240SALINAS G.TMCERVICALES0,5</t>
  </si>
  <si>
    <t>46240SALINAS G.TMCLÁSICAS0,5</t>
  </si>
  <si>
    <t>46240SALINAS G.TMTHERMOSENSE0,5</t>
  </si>
  <si>
    <t>46241SALINAS G.TMCLÁSICAS0,333333333333333</t>
  </si>
  <si>
    <t>46241SALINAS G.TMCERVICALES0,333333333333333</t>
  </si>
  <si>
    <t>46241SALINAS G.TMCERVICALES0,375</t>
  </si>
  <si>
    <t>46241SALINAS G.TMCLÁSICAS0,375</t>
  </si>
  <si>
    <t>46241SALINAS G.TMCLÁSICAS0,416666666666667</t>
  </si>
  <si>
    <t>46241SALINAS G.TMCERVICALES0,416666666666667</t>
  </si>
  <si>
    <t>46241SALINAS G.TMCERVICALES0,458333333333333</t>
  </si>
  <si>
    <t>46241SALINAS G.TMCLÁSICAS0,458333333333333</t>
  </si>
  <si>
    <t>46244SALINAS G.TMCLÁSICAS0,25</t>
  </si>
  <si>
    <t>46244SALINAS G.TMCERVICALES0,25</t>
  </si>
  <si>
    <t>46244SALINAS G.TMCERVICALES0,291666666666667</t>
  </si>
  <si>
    <t>46244SALINAS G.TMCLÁSICAS0,291666666666667</t>
  </si>
  <si>
    <t>46244SALINAS G.TMCLÁSICAS0,333333333333333</t>
  </si>
  <si>
    <t>46244SALINAS G.TMCERVICALES0,333333333333333</t>
  </si>
  <si>
    <t>46244SALINAS G.TMCERVICALES0,375</t>
  </si>
  <si>
    <t>46244SALINAS G.TMCLÁSICAS0,375</t>
  </si>
  <si>
    <t>46244CABRERA B.TMCLÁSICAS0,416666666666667</t>
  </si>
  <si>
    <t>CABRERA B.</t>
  </si>
  <si>
    <t>46244CABRERA B.TMCERVICALES0,416666666666667</t>
  </si>
  <si>
    <t>46244CABRERA B.TMCERVICALES0,458333333333333</t>
  </si>
  <si>
    <t>46244CABRERA B.TMCLÁSICAS0,458333333333333</t>
  </si>
  <si>
    <t>46244CABRERA B.TMCLÁSICAS0,5</t>
  </si>
  <si>
    <t>46244CABRERA B.TMCERVICALES0,5</t>
  </si>
  <si>
    <t>46244CABRERA B.TMCERVICALES0,541666666666667</t>
  </si>
  <si>
    <t>46244CABRERA B.TMCLÁSICAS0,541666666666667</t>
  </si>
  <si>
    <t>46245SALINAS G.TMCLÁSICAS0,25</t>
  </si>
  <si>
    <t>46245SALINAS G.TMCERVICALES0,25</t>
  </si>
  <si>
    <t>46245SALINAS G.TMCERVICALES0,291666666666667</t>
  </si>
  <si>
    <t>46245SALINAS G.TMCLÁSICAS0,291666666666667</t>
  </si>
  <si>
    <t>46245SALINAS G.TMCLÁSICAS0,333333333333333</t>
  </si>
  <si>
    <t>46245SALINAS G.TMCERVICALES0,333333333333333</t>
  </si>
  <si>
    <t>46245SALINAS G.TMCERVICALES0,375</t>
  </si>
  <si>
    <t>46245SALINAS G.TMCLÁSICAS0,375</t>
  </si>
  <si>
    <t>46245CABRERA B.TMCLÁSICAS0,416666666666667</t>
  </si>
  <si>
    <t>46245CABRERA B.TMCERVICALES0,416666666666667</t>
  </si>
  <si>
    <t>46245CABRERA B.TMCERVICALES0,458333333333333</t>
  </si>
  <si>
    <t>46245CABRERA B.TMCLÁSICAS0,458333333333333</t>
  </si>
  <si>
    <t>46245CABRERA B.TMCERVICALES0,5</t>
  </si>
  <si>
    <t>46245CABRERA B.TMCLÁSICAS0,5</t>
  </si>
  <si>
    <t>46245CABRERA B.TMCLÁSICAS0,541666666666667</t>
  </si>
  <si>
    <t>46245CABRERA B.TMCERVICALES0,541666666666667</t>
  </si>
  <si>
    <t>46246SALINAS G.TMCERVICALES0,25</t>
  </si>
  <si>
    <t>46246SALINAS G.TMCLÁSICAS0,25</t>
  </si>
  <si>
    <t>46246SALINAS G.TMTHERMOSENSE0,25</t>
  </si>
  <si>
    <t>46246SALINAS G.TMTHERMOSENSE0,291666666666667</t>
  </si>
  <si>
    <t>46246SALINAS G.TMCLÁSICAS0,291666666666667</t>
  </si>
  <si>
    <t>46246SALINAS G.TMCERVICALES0,291666666666667</t>
  </si>
  <si>
    <t>46246SALINAS G.TMCERVICALES0,333333333333333</t>
  </si>
  <si>
    <t>46246SALINAS G.TMCLÁSICAS0,333333333333333</t>
  </si>
  <si>
    <t>46246SALINAS G.TMTHERMOSENSE0,333333333333333</t>
  </si>
  <si>
    <t>46246SALINAS G.TMTHERMOSENSE0,375</t>
  </si>
  <si>
    <t>46246SALINAS G.TMCLÁSICAS0,375</t>
  </si>
  <si>
    <t>46246SALINAS G.TMCERVICALES0,375</t>
  </si>
  <si>
    <t>46246CABRERA B.TMCERVICALES0,416666666666667</t>
  </si>
  <si>
    <t>46246CABRERA B.TMCLÁSICAS0,416666666666667</t>
  </si>
  <si>
    <t>46246CABRERA B.TMTHERMOSENSE0,416666666666667</t>
  </si>
  <si>
    <t>46246CABRERA B.TMTHERMOSENSE0,458333333333333</t>
  </si>
  <si>
    <t>46246CABRERA B.TMCERVICALES0,458333333333333</t>
  </si>
  <si>
    <t>46246CABRERA B.TMCLÁSICAS0,458333333333333</t>
  </si>
  <si>
    <t>46246CABRERA B.TMCLÁSICAS0,5</t>
  </si>
  <si>
    <t>46246CABRERA B.TMCERVICALES0,5</t>
  </si>
  <si>
    <t>46246CABRERA B.TMTHERMOSENSE0,5</t>
  </si>
  <si>
    <t>46246CABRERA B.TMTHERMOSENSE0,541666666666667</t>
  </si>
  <si>
    <t>46246CABRERA B.TMCERVICALES0,541666666666667</t>
  </si>
  <si>
    <t>46246CABRERA B.TMCLÁSICAS0,541666666666667</t>
  </si>
  <si>
    <t>46247CABRERA B.TMCLÁSICAS0,25</t>
  </si>
  <si>
    <t>46247CABRERA B.TMTHERMOSENSE0,25</t>
  </si>
  <si>
    <t>46247CABRERA B.TMTHERMOSENSE0,291666666666667</t>
  </si>
  <si>
    <t>46247CABRERA B.TMCLÁSICAS0,291666666666667</t>
  </si>
  <si>
    <t>46247CABRERA B.TMCLÁSICAS0,333333333333333</t>
  </si>
  <si>
    <t>46247CABRERA B.TMTHERMOSENSE0,333333333333333</t>
  </si>
  <si>
    <t>46247CABRERA B.TMTHERMOSENSE0,375</t>
  </si>
  <si>
    <t>46247CABRERA B.TMCLÁSICAS0,375</t>
  </si>
  <si>
    <t>46247SALINAS G.TMCLÁSICAS0,416666666666667</t>
  </si>
  <si>
    <t>46247SALINAS G.TMTHERMOSENSE0,416666666666667</t>
  </si>
  <si>
    <t>46247SALINAS G.TMTHERMOSENSE0,458333333333333</t>
  </si>
  <si>
    <t>46247SALINAS G.TMCLÁSICAS0,458333333333333</t>
  </si>
  <si>
    <t>46247SALINAS G.TMCLÁSICAS0,5</t>
  </si>
  <si>
    <t>46247SALINAS G.TMTHERMOSENSE0,5</t>
  </si>
  <si>
    <t>46248SALINAS G.TMCLÁSICAS0,25</t>
  </si>
  <si>
    <t>46248SALINAS G.TMCERVICALES0,25</t>
  </si>
  <si>
    <t>46248SALINAS G.TMCERVICALES0,291666666666667</t>
  </si>
  <si>
    <t>46248SALINAS G.TMCLÁSICAS0,291666666666667</t>
  </si>
  <si>
    <t>46248SALINAS G.TMCLÁSICAS0,333333333333333</t>
  </si>
  <si>
    <t>46248SALINAS G.TMCERVICALES0,333333333333333</t>
  </si>
  <si>
    <t>46248SALINAS G.TMCERVICALES0,375</t>
  </si>
  <si>
    <t>46248SALINAS G.TMCLÁSICAS0,375</t>
  </si>
  <si>
    <t>46248SALINAS G.TMCLÁSICAS0,416666666666667</t>
  </si>
  <si>
    <t>46248SALINAS G.TMCERVICALES0,416666666666667</t>
  </si>
  <si>
    <t>46248SALINAS G.TMCERVICALES0,458333333333333</t>
  </si>
  <si>
    <t>46248SALINAS G.TMCLÁSICAS0,458333333333333</t>
  </si>
  <si>
    <t>46248SALINAS G.TMCLÁSICAS0,5</t>
  </si>
  <si>
    <t>46248SALINAS G.TMCERVICALES0,5</t>
  </si>
  <si>
    <t>46248SALINAS G.TMCERVICALES0,541666666666667</t>
  </si>
  <si>
    <t>46248SALINAS G.TMCLÁSICAS0,541666666666667</t>
  </si>
  <si>
    <t>46254SALINAS G.TMCLÁSICAS0,25</t>
  </si>
  <si>
    <t>46254SALINAS G.TMCERVICALES0,25</t>
  </si>
  <si>
    <t>46254SALINAS G.TMPROMOS0,25</t>
  </si>
  <si>
    <t>PROMOS</t>
  </si>
  <si>
    <t>46254SALINAS G.TMPROMOS0,291666666666667</t>
  </si>
  <si>
    <t>46254SALINAS G.TMCLÁSICAS0,291666666666667</t>
  </si>
  <si>
    <t>46254SALINAS G.TMCERVICALES0,291666666666667</t>
  </si>
  <si>
    <t>46254SALINAS G.TMCERVICALES0,333333333333333</t>
  </si>
  <si>
    <t>46254SALINAS G.TMCLÁSICAS0,333333333333333</t>
  </si>
  <si>
    <t>46254SALINAS G.TMPROMOS0,333333333333333</t>
  </si>
  <si>
    <t>46254SALINAS G.TMPROMOS0,375</t>
  </si>
  <si>
    <t>46254SALINAS G.TMCLÁSICAS0,375</t>
  </si>
  <si>
    <t>46254SALINAS G.TMCERVICALES0,375</t>
  </si>
  <si>
    <t>46254SALINAS G.TMCERVICALES0,458333333333333</t>
  </si>
  <si>
    <t>46254SALINAS G.TMCLÁSICAS0,458333333333333</t>
  </si>
  <si>
    <t>46254SALINAS G.TMPROMOS0,458333333333333</t>
  </si>
  <si>
    <t>46254SALINAS G.TMPROMOS0,5</t>
  </si>
  <si>
    <t>46254SALINAS G.TMCLÁSICAS0,5</t>
  </si>
  <si>
    <t>46254SALINAS G.TMCERVICALES0,5</t>
  </si>
  <si>
    <t>46255SALINAS G.TMCLÁSICAS0,25</t>
  </si>
  <si>
    <t>46255SALINAS G.TMCERVICALES0,25</t>
  </si>
  <si>
    <t>46255SALINAS G.TMCERVICALES0,291666666666667</t>
  </si>
  <si>
    <t>46255SALINAS G.TMCLÁSICAS0,291666666666667</t>
  </si>
  <si>
    <t>46255SALINAS G.TMCLÁSICAS0,333333333333333</t>
  </si>
  <si>
    <t>46255SALINAS G.TMCERVICALES0,333333333333333</t>
  </si>
  <si>
    <t>46255SALINAS G.TMCERVICALES0,375</t>
  </si>
  <si>
    <t>46255SALINAS G.TMCLÁSICAS0,375</t>
  </si>
  <si>
    <t>46255SALINAS G.TMCLÁSICAS0,416666666666667</t>
  </si>
  <si>
    <t>46255SALINAS G.TMCERVICALES0,416666666666667</t>
  </si>
  <si>
    <t>46255SALINAS G.TMCERVICALES0,458333333333333</t>
  </si>
  <si>
    <t>46255SALINAS G.TMCLÁSICAS0,458333333333333</t>
  </si>
  <si>
    <t>46255SALINAS G.TMCLÁSICAS0,5</t>
  </si>
  <si>
    <t>46255SALINAS G.TMCERVICALES0,5</t>
  </si>
  <si>
    <t>46255SALINAS G.TMCERVICALES0,541666666666667</t>
  </si>
  <si>
    <t>46255SALINAS G.TMCLÁSICAS0,541666666666667</t>
  </si>
  <si>
    <t>46258SALINAS G.TMCLÁSICAS0,416666666666667</t>
  </si>
  <si>
    <t>46258SALINAS G.TMCERVICALES0,416666666666667</t>
  </si>
  <si>
    <t>46258SALINAS G.TMCERVICALES0,458333333333333</t>
  </si>
  <si>
    <t>46258SALINAS G.TMCLÁSICAS0,458333333333333</t>
  </si>
  <si>
    <t>46258SALINAS G.TMCLÁSICAS0,5</t>
  </si>
  <si>
    <t>46258SALINAS G.TMCERVICALES0,5</t>
  </si>
  <si>
    <t>46259SALINAS G.TMCERVICALES0,25</t>
  </si>
  <si>
    <t>46259SALINAS G.TMCLÁSICAS0,25</t>
  </si>
  <si>
    <t>46259SALINAS G.TMPROMOS0,25</t>
  </si>
  <si>
    <t>46259SALINAS G.TMPROMOS0,291666666666667</t>
  </si>
  <si>
    <t>46259SALINAS G.TMCERVICALES0,291666666666667</t>
  </si>
  <si>
    <t>46259SALINAS G.TMCLÁSICAS0,291666666666667</t>
  </si>
  <si>
    <t>46259SALINAS G.TMCLÁSICAS0,333333333333333</t>
  </si>
  <si>
    <t>46259SALINAS G.TMCERVICALES0,333333333333333</t>
  </si>
  <si>
    <t>46259SALINAS G.TMPROMOS0,333333333333333</t>
  </si>
  <si>
    <t>46259SALINAS G.TMPROMOS0,375</t>
  </si>
  <si>
    <t>46259SALINAS G.TMCLÁSICAS0,375</t>
  </si>
  <si>
    <t>46259SALINAS G.TMCERVICALES0,375</t>
  </si>
  <si>
    <t>46259SALINAS G.TMCERVICALES0,416666666666667</t>
  </si>
  <si>
    <t>46259SALINAS G.TMPROMOS0,416666666666667</t>
  </si>
  <si>
    <t>46259SALINAS G.TMPROMOS0,458333333333333</t>
  </si>
  <si>
    <t>46259SALINAS G.TMCLÁSICAS0,458333333333333</t>
  </si>
  <si>
    <t>46259SALINAS G.TMCERVICALES0,458333333333333</t>
  </si>
  <si>
    <t>46259CABRERA B.TMCERVICALES0,5</t>
  </si>
  <si>
    <t>46259CABRERA B.TMCERVICALES0,541666666666667</t>
  </si>
  <si>
    <t>46259CABRERA B.TMCLÁSICAS0,5</t>
  </si>
  <si>
    <t>46259CABRERA B.TMCLÁSICAS0,541666666666667</t>
  </si>
  <si>
    <t>46260CABRERA B.TMCLÁSICAS0,25</t>
  </si>
  <si>
    <t>46260CABRERA B.TMCERVICALES0,25</t>
  </si>
  <si>
    <t>46260CABRERA B.TMCERVICALES0,291666666666667</t>
  </si>
  <si>
    <t>46260CABRERA B.TMCLÁSICAS0,291666666666667</t>
  </si>
  <si>
    <t>46260CABRERA B.TMCLÁSICAS0,333333333333333</t>
  </si>
  <si>
    <t>46260CABRERA B.TMCERVICALES0,333333333333333</t>
  </si>
  <si>
    <t>46260CABRERA B.TMCERVICALES0,375</t>
  </si>
  <si>
    <t>46260CABRERA B.TMCLÁSICAS0,375</t>
  </si>
  <si>
    <t>46260CABRERA B.TMCLÁSICAS0,416666666666667</t>
  </si>
  <si>
    <t>46260CABRERA B.TMCERVICALES0,416666666666667</t>
  </si>
  <si>
    <t>46260CABRERA B.TMCERVICALES0,458333333333333</t>
  </si>
  <si>
    <t>46260CABRERA B.TMCLÁSICAS0,458333333333333</t>
  </si>
  <si>
    <t>46265SALINAS G.TMCLÁSICAS0,25</t>
  </si>
  <si>
    <t>46265SALINAS G.TMCERVICALES0,25</t>
  </si>
  <si>
    <t>46265SALINAS G.TMCERVICALES0,291666666666667</t>
  </si>
  <si>
    <t>46265SALINAS G.TMCLÁSICAS0,291666666666667</t>
  </si>
  <si>
    <t>46265SALINAS G.TMCLÁSICAS0,333333333333333</t>
  </si>
  <si>
    <t>46265SALINAS G.TMCERVICALES0,333333333333333</t>
  </si>
  <si>
    <t>46265SALINAS G.TMCERVICALES0,375</t>
  </si>
  <si>
    <t>46265SALINAS G.TMCLÁSICAS0,375</t>
  </si>
  <si>
    <t>46265SALINAS G.TMCLÁSICAS0,416666666666667</t>
  </si>
  <si>
    <t>46265SALINAS G.TMCERVICALES0,416666666666667</t>
  </si>
  <si>
    <t>46265SALINAS G.TMCERVICALES0,458333333333333</t>
  </si>
  <si>
    <t>46265SALINAS G.TMCLÁSICAS0,458333333333333</t>
  </si>
  <si>
    <t>46265CABRERA B.TMCLÁSICAS0,5</t>
  </si>
  <si>
    <t>46265CABRERA B.TMCERVICALES0,5</t>
  </si>
  <si>
    <t>46265CABRERA B.TMCERVICALES0,541666666666667</t>
  </si>
  <si>
    <t>46265CABRERA B.TMCLÁSICAS0,541666666666667</t>
  </si>
  <si>
    <t>46266CABRERA B.TMCERVICALES0,25</t>
  </si>
  <si>
    <t>46266CABRERA B.TMCLÁSICAS0,25</t>
  </si>
  <si>
    <t>46266CABRERA B.TMCLÁSICAS0,291666666666667</t>
  </si>
  <si>
    <t>46266CABRERA B.TMCERVICALES0,291666666666667</t>
  </si>
  <si>
    <t>46266OTRO 2TMCERVICALES0,541666666666667</t>
  </si>
  <si>
    <t>OTRO 2</t>
  </si>
  <si>
    <t>46266OTRO 2TMCERVICALES0,5</t>
  </si>
  <si>
    <t>46282OTRO 1TMCLÁSICAS0,5</t>
  </si>
  <si>
    <t>MOLDES/PLACAS</t>
  </si>
  <si>
    <t>OPERARIOS</t>
  </si>
  <si>
    <t>TURNOS</t>
  </si>
  <si>
    <t>CONTROL</t>
  </si>
  <si>
    <t>HORARIO</t>
  </si>
  <si>
    <t>TT</t>
  </si>
  <si>
    <t>DESANTO R.</t>
  </si>
  <si>
    <t>LOPEZ  L.</t>
  </si>
  <si>
    <t>CLAS. BRASIL</t>
  </si>
  <si>
    <t>PESO POR UNIDAD</t>
  </si>
  <si>
    <t>PLACA N°1</t>
  </si>
  <si>
    <t>PLACA N°2</t>
  </si>
  <si>
    <t>PLACA N°3</t>
  </si>
  <si>
    <t>PROMEDIO</t>
  </si>
  <si>
    <t>INYECCIÓN PLACAS VISCO</t>
  </si>
  <si>
    <t>Actualizado:</t>
  </si>
  <si>
    <t>Programa</t>
  </si>
  <si>
    <t>Peso MIN</t>
  </si>
  <si>
    <t>Peso MAX</t>
  </si>
  <si>
    <t>Relación</t>
  </si>
  <si>
    <t>Clásica NEW</t>
  </si>
  <si>
    <t>Clásica</t>
  </si>
  <si>
    <t>Cervical RES</t>
  </si>
  <si>
    <t>Cervical ALU</t>
  </si>
  <si>
    <t>Clásica PROM</t>
  </si>
  <si>
    <t>Cervical PROM</t>
  </si>
  <si>
    <t>n (muestra: últimos registros, máx. 50)</t>
  </si>
  <si>
    <t>Total registros de la placa</t>
  </si>
  <si>
    <t>Título eje horizontal</t>
  </si>
  <si>
    <t>Registros anteriores excluidos</t>
  </si>
  <si>
    <t>Nota: todos los cálculos y el gráfico usan solo los últimos registros de la placa seleccionada (óptimo 50, mínimo 25) para evaluar la tendencia del proceso actual; M 1 es el registro más antiguo de la muestra y el de número mayor, el más reciente. LCS y LCI son el promedio de los pesos máximo y mínimo de esa muestra; el Nominal/Óptimo es el promedio del Peso STD (gr).</t>
  </si>
  <si>
    <t>46174SALINAS G.TMCLÁSICAS0,458333333333333</t>
  </si>
  <si>
    <t>46174SALINAS G.TMPROMOS0,458333333333333</t>
  </si>
  <si>
    <t>46174SALINAS G.TMPROMOS0,5</t>
  </si>
  <si>
    <t>46174SALINAS G.TMCLÁSICAS0,5</t>
  </si>
  <si>
    <t>46175SALINAS G.TMCLÁSICAS0,25</t>
  </si>
  <si>
    <t>46175SALINAS G.TMPROMOS0,25</t>
  </si>
  <si>
    <t>46175SALINAS G.TMCLÁSICAS0,291666666666667</t>
  </si>
  <si>
    <t>46175SALINAS G.TMPROMOS0,291666666666667</t>
  </si>
  <si>
    <t>46175SALINAS G.TMPROMOS0,333333333333333</t>
  </si>
  <si>
    <t>46175SALINAS G.TMCLÁSICAS0,333333333333333</t>
  </si>
  <si>
    <t>46175SALINAS G.TMCLÁSICAS0,375</t>
  </si>
  <si>
    <t>46175SALINAS G.TMPROMOS0,375</t>
  </si>
  <si>
    <t>46175SALINAS G.TMPROMOS0,416666666666667</t>
  </si>
  <si>
    <t>46175SALINAS G.TMCLÁSICAS0,416666666666667</t>
  </si>
  <si>
    <t>46175SALINAS G.TMCLÁSICAS0,458333333333333</t>
  </si>
  <si>
    <t>46175SALINAS G.TMPROMOS0,458333333333333</t>
  </si>
  <si>
    <t>46175SALINAS G.TMPROMOS0,5</t>
  </si>
  <si>
    <t>46175SALINAS G.TMCLÁSICAS0,5</t>
  </si>
  <si>
    <t>46176SALINAS G.TMCLÁSICAS0,25</t>
  </si>
  <si>
    <t>46176SALINAS G.TMPROMOS0,25</t>
  </si>
  <si>
    <t>46176SALINAS G.TMPROMOS0,291666666666667</t>
  </si>
  <si>
    <t>46176SALINAS G.TMCLÁSICAS0,291666666666667</t>
  </si>
  <si>
    <t>46176SALINAS G.TMCLÁSICAS0,333333333333333</t>
  </si>
  <si>
    <t>46176SALINAS G.TMPROMOS0,333333333333333</t>
  </si>
  <si>
    <t>46176SALINAS G.TMPROMOS0,375</t>
  </si>
  <si>
    <t>46176SALINAS G.TMCLÁSICAS0,375</t>
  </si>
  <si>
    <t>46176CABRERA B.TMCLÁSICAS0,416666666666667</t>
  </si>
  <si>
    <t>46176CABRERA B.TMPROMOS0,416666666666667</t>
  </si>
  <si>
    <t>46176CABRERA B.TMCLÁSICAS0,458333333333333</t>
  </si>
  <si>
    <t>46176CABRERA B.TMPROMOS0,458333333333333</t>
  </si>
  <si>
    <t>46176CABRERA B.TMCLÁSICAS0,5</t>
  </si>
  <si>
    <t>46176CABRERA B.TMPROMOS0,5</t>
  </si>
  <si>
    <t>46177SALINAS G.TMCLÁSICAS0,5</t>
  </si>
  <si>
    <t>46177SALINAS G.TMCERVICALES0,5</t>
  </si>
  <si>
    <t>46177SALINAS G.TMCERVICALES0,291666666666667</t>
  </si>
  <si>
    <t>46177SALINAS G.TMCLÁSICAS0,291666666666667</t>
  </si>
  <si>
    <t>46177SALINAS G.TMCLÁSICAS0,333333333333333</t>
  </si>
  <si>
    <t>46177SALINAS G.TMCERVICALES0,333333333333333</t>
  </si>
  <si>
    <t>46177SALINAS G.TMCERVICALES0,375</t>
  </si>
  <si>
    <t>46177SALINAS G.TMCLÁSICAS0,375</t>
  </si>
  <si>
    <t>46177SALINAS G.TMCLÁSICAS0,416666666666667</t>
  </si>
  <si>
    <t>46177SALINAS G.TMCERVICALES0,416666666666667</t>
  </si>
  <si>
    <t>46177SALINAS G.TMCERVICALES0,458333333333333</t>
  </si>
  <si>
    <t>46177SALINAS G.TMCLÁSICAS0,458333333333333</t>
  </si>
  <si>
    <t>46178SALINAS G.TMCLÁSICAS0,333333333333333</t>
  </si>
  <si>
    <t>46178SALINAS G.TMCERVICALES0,333333333333333</t>
  </si>
  <si>
    <t>46178SALINAS G.TMCERVICALES0,375</t>
  </si>
  <si>
    <t>46178SALINAS G.TMCLÁSICAS0,375</t>
  </si>
  <si>
    <t>46178SALINAS G.TMCLÁSICAS0,416666666666667</t>
  </si>
  <si>
    <t>46178SALINAS G.TMCERVICALES0,416666666666667</t>
  </si>
  <si>
    <t>46181SALINAS G.TMCLÁSICAS0,375</t>
  </si>
  <si>
    <t>46181SALINAS G.TMCERVICALES0,375</t>
  </si>
  <si>
    <t>46181SALINAS G.TMCERVICALES0,416666666666667</t>
  </si>
  <si>
    <t>46181SALINAS G.TMCLÁSICAS0,416666666666667</t>
  </si>
  <si>
    <t>46181SALINAS G.TMCLÁSICAS0,458333333333333</t>
  </si>
  <si>
    <t>46181SALINAS G.TMCERVICALES0,458333333333333</t>
  </si>
  <si>
    <t>46181SALINAS G.TMCERVICALES0,5</t>
  </si>
  <si>
    <t>46181SALINAS G.TMCLÁSICAS0,5</t>
  </si>
  <si>
    <t>46181SALINAS G.TMCLÁSICAS0,541666666666667</t>
  </si>
  <si>
    <t>46181SALINAS G.TMCERVICALES0,541666666666667</t>
  </si>
  <si>
    <t>46182SALINAS G.TMCLÁSICAS0,25</t>
  </si>
  <si>
    <t>46182SALINAS G.TMCERVICALES0,25</t>
  </si>
  <si>
    <t>46182SALINAS G.TMCERVICALES0,291666666666667</t>
  </si>
  <si>
    <t>46182SALINAS G.TMCLÁSICAS0,291666666666667</t>
  </si>
  <si>
    <t>46182SALINAS G.TMCLÁSICAS0,333333333333333</t>
  </si>
  <si>
    <t>46182SALINAS G.TMCERVICALES0,333333333333333</t>
  </si>
  <si>
    <t>46182SALINAS G.TMCERVICALES0,375</t>
  </si>
  <si>
    <t>46182SALINAS G.TMCLÁSICAS0,375</t>
  </si>
  <si>
    <t>46182SALINAS G.TMCLÁSICAS0,416666666666667</t>
  </si>
  <si>
    <t>46182SALINAS G.TMCERVICALES0,416666666666667</t>
  </si>
  <si>
    <t>46182SALINAS G.TMCERVICALES0,458333333333333</t>
  </si>
  <si>
    <t>46182SALINAS G.TMCLÁSICAS0,458333333333333</t>
  </si>
  <si>
    <t>46182SALINAS G.TMCLÁSICAS0,5</t>
  </si>
  <si>
    <t>46182SALINAS G.TMCERVICALES0,5</t>
  </si>
  <si>
    <t>46182SALINAS G.TMCERVICALES0,541666666666667</t>
  </si>
  <si>
    <t>46182SALINAS G.TMCLÁSICAS0,541666666666667</t>
  </si>
  <si>
    <t>46184SALINAS G.TMCLÁSICAS0,25</t>
  </si>
  <si>
    <t>46184SALINAS G.TMCERVICALES0,25</t>
  </si>
  <si>
    <t>46184SALINAS G.TMCERVICALES0,291666666666667</t>
  </si>
  <si>
    <t>46184SALINAS G.TMCLÁSICAS0,291666666666667</t>
  </si>
  <si>
    <t>46184SALINAS G.TMCLÁSICAS0,333333333333333</t>
  </si>
  <si>
    <t>46184SALINAS G.TMCERVICALES0,333333333333333</t>
  </si>
  <si>
    <t>46184SALINAS G.TMCERVICALES0,375</t>
  </si>
  <si>
    <t>46184SALINAS G.TMCLÁSICAS0,375</t>
  </si>
  <si>
    <t>46184CABRERA B.TMCLÁSICAS0,416666666666667</t>
  </si>
  <si>
    <t>46184CABRERA B.TMCERVICALES0,416666666666667</t>
  </si>
  <si>
    <t>46184CABRERA B.TMCLÁSICAS0,458333333333333</t>
  </si>
  <si>
    <t>46184CABRERA B.TMCERVICALES0,458333333333333</t>
  </si>
  <si>
    <t>46184CABRERA B.TMCLÁSICAS0,5</t>
  </si>
  <si>
    <t>46184CABRERA B.TMCERVICALES0,5</t>
  </si>
  <si>
    <t>46185SALINAS G.TMCLÁSICAS0,25</t>
  </si>
  <si>
    <t>46185SALINAS G.TMCERVICALES0,25</t>
  </si>
  <si>
    <t>46185SALINAS G.TMCERVICALES0,291666666666667</t>
  </si>
  <si>
    <t>46185SALINAS G.TMCLÁSICAS0,291666666666667</t>
  </si>
  <si>
    <t>46185SALINAS G.TMCLÁSICAS0,333333333333333</t>
  </si>
  <si>
    <t>46185SALINAS G.TMCLÁSICAS0,375</t>
  </si>
  <si>
    <t>46185SALINAS G.TMCLÁSICAS0,416666666666667</t>
  </si>
  <si>
    <t>46185SALINAS G.TMCLÁSICAS0,458333333333333</t>
  </si>
  <si>
    <t>46185SALINAS G.TMCLÁSICAS0,5</t>
  </si>
  <si>
    <t>46185SALINAS G.TMCLÁSICAS0,541666666666667</t>
  </si>
  <si>
    <t>46190SALINAS G.TMCLÁSICAS0,25</t>
  </si>
  <si>
    <t>46190SALINAS G.TMCERVICALES0,25</t>
  </si>
  <si>
    <t>46190CABRERA B.TMCERVICALES0,25</t>
  </si>
  <si>
    <t>46190CABRERA B.TMCERVICALES0,291666666666667</t>
  </si>
  <si>
    <t>46190CABRERA B.TMCLÁSICAS0,25</t>
  </si>
  <si>
    <t>46190CABRERA B.TMCLÁSICAS0,291666666666667</t>
  </si>
  <si>
    <t>46190SALINAS G.TMCLÁSICAS0,375</t>
  </si>
  <si>
    <t>46190SALINAS G.TMCERVICALES0,375</t>
  </si>
  <si>
    <t>46190SALINAS G.TMCERVICALES0,416666666666667</t>
  </si>
  <si>
    <t>46190SALINAS G.TMCLÁSICAS0,416666666666667</t>
  </si>
  <si>
    <t>46190CABRERA B.TMCLÁSICAS0,458333333333333</t>
  </si>
  <si>
    <t>46190CABRERA B.TMCERVICALES0,458333333333333</t>
  </si>
  <si>
    <t>46190CABRERA B.TMTHERMOSENSE0,5</t>
  </si>
  <si>
    <t>46190CABRERA B.TMTHERMOSENSE0,541666666666667</t>
  </si>
  <si>
    <t>46191SALINAS G.TMCERVICALES0,25</t>
  </si>
  <si>
    <t>46191SALINAS G.TMTHERMOSENSE0,25</t>
  </si>
  <si>
    <t>46191SALINAS G.TMTHERMOSENSE0,291666666666667</t>
  </si>
  <si>
    <t>46191SALINAS G.TMCERVICALES0,291666666666667</t>
  </si>
  <si>
    <t>46191SALINAS G.TMCERVICALES0,333333333333333</t>
  </si>
  <si>
    <t>46191SALINAS G.TMCERVICALES0,375</t>
  </si>
  <si>
    <t>46191SALINAS G.TMTHERMOSENSE0,375</t>
  </si>
  <si>
    <t>46191SALINAS G.TMTHERMOSENSE0,458333333333333</t>
  </si>
  <si>
    <t>46191SALINAS G.TMCERVICALES0,458333333333333</t>
  </si>
  <si>
    <t>46191SALINAS G.TMCERVICALES0,5</t>
  </si>
  <si>
    <t>46191SALINAS G.TMTHERMOSENSE0,5</t>
  </si>
  <si>
    <t>46191SALINAS G.TMTHERMOSENSE0,541666666666667</t>
  </si>
  <si>
    <t>46191SALINAS G.TMCLÁSICAS0,541666666666667</t>
  </si>
  <si>
    <t>46192SALINAS G.TMCLÁSICAS0,25</t>
  </si>
  <si>
    <t>46192SALINAS G.TMCLÁSICAS0,291666666666667</t>
  </si>
  <si>
    <t>46192SALINAS G.TMCERVICALES0,291666666666667</t>
  </si>
  <si>
    <t>46192SALINAS G.TMCERVICALES0,375</t>
  </si>
  <si>
    <t>46192SALINAS G.TMCLÁSICAS0,375</t>
  </si>
  <si>
    <t>46192CABRERA B.TMCLÁSICAS0,416666666666667</t>
  </si>
  <si>
    <t>46192CABRERA B.TMCERVICALES0,416666666666667</t>
  </si>
  <si>
    <t>46192CABRERA B.TMCERVICALES0,458333333333333</t>
  </si>
  <si>
    <t>46192CABRERA B.TMCLÁSICAS0,458333333333333</t>
  </si>
  <si>
    <t>46195SALINAS G.TMCLÁSICAS0,25</t>
  </si>
  <si>
    <t>46195SALINAS G.TMCERVICALES0,25</t>
  </si>
  <si>
    <t>46195SALINAS G.TMCERVICALES0,291666666666667</t>
  </si>
  <si>
    <t>46195SALINAS G.TMCLÁSICAS0,291666666666667</t>
  </si>
  <si>
    <t>46195SALINAS G.TMCLÁSICAS0,333333333333333</t>
  </si>
  <si>
    <t>46195SALINAS G.TMCERVICALES0,333333333333333</t>
  </si>
  <si>
    <t>46195SALINAS G.TMPROMOS0,333333333333333</t>
  </si>
  <si>
    <t>46195CABRERA B.TMPROMOS0,416666666666667</t>
  </si>
  <si>
    <t>46195CABRERA B.TMPROMOS0,458333333333333</t>
  </si>
  <si>
    <t>46195CABRERA B.TMPROMOS0,5</t>
  </si>
  <si>
    <t>46196CABRERA B.TMCLÁSICAS0,375</t>
  </si>
  <si>
    <t>46196CABRERA B.TMCERVICALES0,375</t>
  </si>
  <si>
    <t>46196CABRERA B.TMCERVICALES0,416666666666667</t>
  </si>
  <si>
    <t>46196CABRERA B.TMCLÁSICAS0,416666666666667</t>
  </si>
  <si>
    <t>46196CABRERA B.TMCLÁSICAS0,458333333333333</t>
  </si>
  <si>
    <t>46196CABRERA B.TMCERVICALES0,458333333333333</t>
  </si>
  <si>
    <t>46196CABRERA B.TMCERVICALES0,5</t>
  </si>
  <si>
    <t>46196CABRERA B.TMCLÁSICAS0,5</t>
  </si>
  <si>
    <t>46197SALINAS G.TMCLÁSICAS0,25</t>
  </si>
  <si>
    <t>46197SALINAS G.TMCERVICALES0,25</t>
  </si>
  <si>
    <t>46197SALINAS G.TMCERVICALES0,291666666666667</t>
  </si>
  <si>
    <t>46197SALINAS G.TMCERVICALES0,333333333333333</t>
  </si>
  <si>
    <t>46197SALINAS G.TMCLÁSICAS0,333333333333333</t>
  </si>
  <si>
    <t>46197SALINAS G.TMCLÁSICAS0,375</t>
  </si>
  <si>
    <t>46197SALINAS G.TMCERVICALES0,375</t>
  </si>
  <si>
    <t>46197SALINAS G.TMCERVICALES0,416666666666667</t>
  </si>
  <si>
    <t>46197SALINAS G.TMCLÁSICAS0,416666666666667</t>
  </si>
  <si>
    <t>46197SALINAS G.TMCLÁSICAS0,458333333333333</t>
  </si>
  <si>
    <t>46197SALINAS G.TMCERVICALES0,458333333333333</t>
  </si>
  <si>
    <t>46197SALINAS G.TMCERVICALES0,5</t>
  </si>
  <si>
    <t>46197SALINAS G.TMCLÁSICAS0,5</t>
  </si>
  <si>
    <t>46197SALINAS G.TMCLÁSICAS0,541666666666667</t>
  </si>
  <si>
    <t>46197SALINAS G.TMCERVICALES0,541666666666667</t>
  </si>
  <si>
    <t>46198SALINAS G.TMCLÁSICAS0,25</t>
  </si>
  <si>
    <t>46198SALINAS G.TMCERVICALES0,25</t>
  </si>
  <si>
    <t>46198SALINAS G.TMCERVICALES0,291666666666667</t>
  </si>
  <si>
    <t>46198SALINAS G.TMCLÁSICAS0,291666666666667</t>
  </si>
  <si>
    <t>46198SALINAS G.TMCLÁSICAS0,333333333333333</t>
  </si>
  <si>
    <t>46198SALINAS G.TMCERVICALES0,333333333333333</t>
  </si>
  <si>
    <t>46198SALINAS G.TMCERVICALES0,375</t>
  </si>
  <si>
    <t>46198SALINAS G.TMCLÁSICAS0,375</t>
  </si>
  <si>
    <t>46198SALINAS G.TMCLÁSICAS0,416666666666667</t>
  </si>
  <si>
    <t>46198SALINAS G.TMCERVICALES0,416666666666667</t>
  </si>
  <si>
    <t>46198SALINAS G.TMCLÁSICAS0,458333333333333</t>
  </si>
  <si>
    <t>46198SALINAS G.TMCERVICALES0,458333333333333</t>
  </si>
  <si>
    <t>46198SALINAS G.TMCERVICALES0,5</t>
  </si>
  <si>
    <t>46198SALINAS G.TMCLÁSICAS0,5</t>
  </si>
  <si>
    <t>46199SALINAS G.TMCLÁSICAS0,375</t>
  </si>
  <si>
    <t>46199SALINAS G.TMCLÁSICAS0,416666666666667</t>
  </si>
  <si>
    <t>46205SALINAS G.TMCLÁSICAS0,291666666666667</t>
  </si>
  <si>
    <t>46205SALINAS G.TMCLÁSICAS0,333333333333333</t>
  </si>
  <si>
    <t>46205SALINAS G.TMCLÁSICAS0,375</t>
  </si>
  <si>
    <t>46205SALINAS G.TMCLÁSICAS0,416666666666667</t>
  </si>
  <si>
    <t>46205SALINAS G.TMCLÁSICAS0,458333333333333</t>
  </si>
  <si>
    <t>46205SALINAS G.TMCLÁSICAS0,5</t>
  </si>
  <si>
    <t>46206SALINAS G.TMCERVICALES0,25</t>
  </si>
  <si>
    <t>46206SALINAS G.TMCLÁSICAS0,25</t>
  </si>
  <si>
    <t>46206SALINAS G.TMCLÁSICAS0,291666666666667</t>
  </si>
  <si>
    <t>46206SALINAS G.TMCERVICALES0,291666666666667</t>
  </si>
  <si>
    <t>46206SALINAS G.TMCERVICALES0,333333333333333</t>
  </si>
  <si>
    <t>46206SALINAS G.TMCERVICALES0,375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</si>
</sst>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###"/>
    <numFmt numFmtId="165" formatCode="[$-F400]h:mm:ss\ AM/PM"/>
    <numFmt numFmtId="166" formatCode="mmmm"/>
    <numFmt numFmtId="167" formatCode="m/d/yyyy"/>
    <numFmt numFmtId="168" formatCode="h:mm;@"/>
    <numFmt numFmtId="169" formatCode="0.000"/>
  </numFmts>
  <fonts count="23" x14ac:knownFonts="1">
    <font>
      <sz val="11"/>
      <color theme="1"/>
      <name val="Aptos Narrow"/>
      <family val="2"/>
      <charset val="1"/>
    </font>
    <font>
      <b/>
      <sz val="22"/>
      <color rgb="FFFFFFFF"/>
      <name val="Arial"/>
      <charset val="1"/>
    </font>
    <font>
      <b/>
      <sz val="11"/>
      <name val="Arial"/>
      <charset val="1"/>
    </font>
    <font>
      <b/>
      <sz val="14"/>
      <color rgb="FF1F4E78"/>
      <name val="Arial"/>
      <charset val="1"/>
    </font>
    <font>
      <b/>
      <sz val="12"/>
      <name val="Arial"/>
      <charset val="1"/>
    </font>
    <font>
      <b/>
      <sz val="12"/>
      <color rgb="FFFFFFFF"/>
      <name val="Arial"/>
      <charset val="1"/>
    </font>
    <font>
      <b/>
      <sz val="9"/>
      <color rgb="FF1F4E78"/>
      <name val="Arial"/>
      <charset val="1"/>
    </font>
    <font>
      <b/>
      <sz val="13"/>
      <color rgb="FF000000"/>
      <name val="Arial"/>
      <charset val="1"/>
    </font>
    <font>
      <i/>
      <sz val="8"/>
      <color rgb="FF595959"/>
      <name val="Arial"/>
      <charset val="1"/>
    </font>
    <font>
      <b/>
      <sz val="11"/>
      <color theme="1"/>
      <name val="Aptos Narrow"/>
      <family val="2"/>
      <charset val="1"/>
    </font>
    <font>
      <b/>
      <i/>
      <u/>
      <sz val="12"/>
      <color theme="1"/>
      <name val="Aptos Narrow"/>
      <family val="2"/>
      <charset val="1"/>
    </font>
    <font>
      <b/>
      <i/>
      <u/>
      <sz val="14"/>
      <color theme="1"/>
      <name val="Aptos Narrow"/>
      <family val="2"/>
      <charset val="1"/>
    </font>
    <font>
      <b/>
      <sz val="12"/>
      <color rgb="FF0000FF"/>
      <name val="Aptos Narrow"/>
      <family val="2"/>
      <charset val="1"/>
    </font>
    <font>
      <b/>
      <sz val="9"/>
      <name val="Aptos Narrow"/>
      <family val="2"/>
      <charset val="1"/>
    </font>
    <font>
      <sz val="9"/>
      <color theme="1"/>
      <name val="Aptos Narrow"/>
      <family val="2"/>
      <charset val="1"/>
    </font>
    <font>
      <b/>
      <sz val="10"/>
      <color theme="1"/>
      <name val="Aptos Narrow"/>
      <family val="2"/>
      <charset val="1"/>
    </font>
    <font>
      <sz val="12"/>
      <color rgb="FF000000"/>
      <name val="Aptos"/>
      <family val="2"/>
      <charset val="1"/>
    </font>
    <font>
      <b/>
      <sz val="11"/>
      <color rgb="FFFF0000"/>
      <name val="Aptos Narrow"/>
      <family val="2"/>
      <charset val="1"/>
    </font>
    <font>
      <sz val="11"/>
      <color rgb="FFFF0000"/>
      <name val="Aptos Narrow"/>
      <family val="2"/>
      <charset val="1"/>
    </font>
    <font>
      <b/>
      <sz val="11"/>
      <color theme="1"/>
      <name val="Aptos Narrow"/>
      <family val="2"/>
      <scheme val="minor"/>
    </font>
    <font>
      <b/>
      <sz val="12"/>
      <color rgb="FF0000FF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FFF2CC"/>
        <bgColor rgb="FFFFEB9C"/>
      </patternFill>
    </fill>
    <fill>
      <patternFill patternType="solid">
        <fgColor rgb="FFD9E2F3"/>
        <bgColor rgb="FFD9D9D9"/>
      </patternFill>
    </fill>
    <fill>
      <patternFill patternType="solid">
        <fgColor theme="4" tint="0.79989013336588644"/>
        <bgColor rgb="FFCAEDFB"/>
      </patternFill>
    </fill>
    <fill>
      <patternFill patternType="solid">
        <fgColor rgb="FFFF0000"/>
        <bgColor rgb="FFC00000"/>
      </patternFill>
    </fill>
    <fill>
      <patternFill patternType="solid">
        <fgColor rgb="FFFFC000"/>
        <bgColor rgb="FFFFFF00"/>
      </patternFill>
    </fill>
    <fill>
      <patternFill patternType="solid">
        <fgColor theme="7" tint="0.79989013336588644"/>
        <bgColor rgb="FFCAEDFB"/>
      </patternFill>
    </fill>
    <fill>
      <patternFill patternType="solid">
        <fgColor rgb="FFFFFF00"/>
        <bgColor rgb="FFFFC000"/>
      </patternFill>
    </fill>
    <fill>
      <patternFill patternType="solid">
        <fgColor theme="2" tint="-0.249977111117893"/>
        <bgColor rgb="FFD1D1D1"/>
      </patternFill>
    </fill>
    <fill>
      <patternFill patternType="solid">
        <fgColor rgb="FF00FF00"/>
        <bgColor rgb="FF47D45A"/>
      </patternFill>
    </fill>
    <fill>
      <patternFill patternType="solid">
        <fgColor theme="0" tint="-0.14999847407452621"/>
        <bgColor rgb="FFD1D1D1"/>
      </patternFill>
    </fill>
    <fill>
      <patternFill patternType="solid">
        <fgColor theme="2" tint="-9.9978637043366805E-2"/>
        <bgColor rgb="FFD9D9D9"/>
      </patternFill>
    </fill>
    <fill>
      <patternFill patternType="solid">
        <fgColor rgb="FFF7C7AC"/>
        <bgColor rgb="FFF6C6AD"/>
      </patternFill>
    </fill>
    <fill>
      <patternFill patternType="solid">
        <fgColor rgb="FFCAEDFB"/>
        <bgColor rgb="FFCAEEFB"/>
      </patternFill>
    </fill>
    <fill>
      <patternFill patternType="solid">
        <fgColor theme="4" tint="0.59987182226020086"/>
        <bgColor rgb="FF96DCF8"/>
      </patternFill>
    </fill>
    <fill>
      <patternFill patternType="solid">
        <fgColor theme="7" tint="0.59987182226020086"/>
        <bgColor rgb="FF83CBEB"/>
      </patternFill>
    </fill>
    <fill>
      <patternFill patternType="solid">
        <fgColor theme="5" tint="0.59987182226020086"/>
        <bgColor rgb="FFF7C7AC"/>
      </patternFill>
    </fill>
    <fill>
      <patternFill patternType="solid">
        <fgColor theme="6" tint="0.39988402966399123"/>
        <bgColor rgb="FF83CBEB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rgb="FF1F4E78"/>
      </left>
      <right style="thin">
        <color rgb="FF808080"/>
      </right>
      <top style="medium">
        <color rgb="FF1F4E78"/>
      </top>
      <bottom style="thin">
        <color rgb="FF808080"/>
      </bottom>
      <diagonal/>
    </border>
    <border>
      <left style="medium">
        <color rgb="FF1F4E78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rgb="FF1F4E78"/>
      </left>
      <right style="thin">
        <color rgb="FF808080"/>
      </right>
      <top style="thin">
        <color rgb="FF808080"/>
      </top>
      <bottom style="medium">
        <color rgb="FF1F4E78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131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horizontal="left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9" fillId="0" borderId="0" xfId="0" applyFont="1"/>
    <xf numFmtId="0" fontId="0" fillId="0" borderId="5" xfId="0" applyBorder="1"/>
    <xf numFmtId="0" fontId="0" fillId="0" borderId="9" xfId="0" applyBorder="1" applyAlignment="1">
      <alignment horizontal="center" vertical="center" wrapText="1"/>
    </xf>
    <xf numFmtId="0" fontId="9" fillId="0" borderId="12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9" fillId="0" borderId="13" xfId="0" applyFont="1" applyBorder="1" applyAlignment="1">
      <alignment horizontal="center"/>
    </xf>
    <xf numFmtId="0" fontId="0" fillId="0" borderId="14" xfId="0" applyBorder="1" applyAlignment="1">
      <alignment horizontal="center" vertical="center" wrapText="1"/>
    </xf>
    <xf numFmtId="20" fontId="9" fillId="0" borderId="0" xfId="0" applyNumberFormat="1" applyFont="1" applyAlignment="1">
      <alignment horizontal="left" vertical="center"/>
    </xf>
    <xf numFmtId="0" fontId="9" fillId="0" borderId="17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20" fontId="0" fillId="0" borderId="0" xfId="0" applyNumberFormat="1" applyAlignment="1">
      <alignment horizontal="left" vertical="center"/>
    </xf>
    <xf numFmtId="0" fontId="9" fillId="0" borderId="18" xfId="0" applyFont="1" applyBorder="1"/>
    <xf numFmtId="0" fontId="9" fillId="0" borderId="0" xfId="0" applyFont="1" applyAlignment="1">
      <alignment horizontal="center" vertical="center"/>
    </xf>
    <xf numFmtId="165" fontId="9" fillId="0" borderId="0" xfId="0" applyNumberFormat="1" applyFont="1" applyAlignment="1">
      <alignment vertical="center"/>
    </xf>
    <xf numFmtId="0" fontId="0" fillId="0" borderId="12" xfId="0" applyBorder="1" applyAlignment="1">
      <alignment horizontal="left"/>
    </xf>
    <xf numFmtId="0" fontId="0" fillId="0" borderId="0" xfId="0" applyAlignment="1">
      <alignment wrapText="1"/>
    </xf>
    <xf numFmtId="0" fontId="9" fillId="0" borderId="20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165" fontId="9" fillId="0" borderId="21" xfId="0" applyNumberFormat="1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 vertical="center" wrapText="1"/>
    </xf>
    <xf numFmtId="1" fontId="12" fillId="5" borderId="24" xfId="0" applyNumberFormat="1" applyFont="1" applyFill="1" applyBorder="1" applyAlignment="1" applyProtection="1">
      <alignment horizontal="center" vertical="center"/>
      <protection locked="0"/>
    </xf>
    <xf numFmtId="1" fontId="0" fillId="0" borderId="24" xfId="0" applyNumberFormat="1" applyBorder="1" applyAlignment="1">
      <alignment horizontal="center" vertical="center"/>
    </xf>
    <xf numFmtId="0" fontId="0" fillId="8" borderId="25" xfId="0" applyFill="1" applyBorder="1" applyAlignment="1" applyProtection="1">
      <alignment horizontal="center" vertical="center"/>
      <protection locked="0"/>
    </xf>
    <xf numFmtId="165" fontId="0" fillId="0" borderId="0" xfId="0" applyNumberFormat="1" applyAlignment="1">
      <alignment horizontal="left" vertical="center"/>
    </xf>
    <xf numFmtId="0" fontId="9" fillId="9" borderId="0" xfId="0" applyFont="1" applyFill="1" applyAlignment="1">
      <alignment horizontal="left" vertical="center" wrapText="1"/>
    </xf>
    <xf numFmtId="0" fontId="0" fillId="10" borderId="0" xfId="0" applyFill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167" fontId="0" fillId="0" borderId="0" xfId="0" applyNumberFormat="1" applyAlignment="1">
      <alignment horizontal="left" vertical="center" wrapText="1"/>
    </xf>
    <xf numFmtId="168" fontId="0" fillId="0" borderId="0" xfId="0" applyNumberFormat="1" applyAlignment="1">
      <alignment horizontal="left" vertical="center"/>
    </xf>
    <xf numFmtId="1" fontId="0" fillId="9" borderId="0" xfId="0" applyNumberFormat="1" applyFill="1" applyAlignment="1">
      <alignment horizontal="left" vertical="center"/>
    </xf>
    <xf numFmtId="0" fontId="9" fillId="0" borderId="18" xfId="0" applyFont="1" applyBorder="1" applyAlignment="1">
      <alignment horizontal="left" vertical="center"/>
    </xf>
    <xf numFmtId="1" fontId="13" fillId="0" borderId="25" xfId="0" applyNumberFormat="1" applyFont="1" applyBorder="1" applyAlignment="1">
      <alignment horizontal="left" vertical="center" wrapText="1"/>
    </xf>
    <xf numFmtId="1" fontId="12" fillId="5" borderId="25" xfId="0" applyNumberFormat="1" applyFont="1" applyFill="1" applyBorder="1" applyAlignment="1" applyProtection="1">
      <alignment horizontal="left" vertical="center"/>
      <protection locked="0"/>
    </xf>
    <xf numFmtId="0" fontId="0" fillId="11" borderId="0" xfId="0" applyFill="1" applyAlignment="1">
      <alignment horizontal="center" vertical="center"/>
    </xf>
    <xf numFmtId="0" fontId="9" fillId="0" borderId="26" xfId="0" applyFont="1" applyBorder="1"/>
    <xf numFmtId="0" fontId="0" fillId="0" borderId="27" xfId="0" applyBorder="1" applyAlignment="1">
      <alignment horizontal="center" vertical="center"/>
    </xf>
    <xf numFmtId="165" fontId="0" fillId="0" borderId="2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/>
    <xf numFmtId="0" fontId="0" fillId="0" borderId="29" xfId="0" applyBorder="1" applyAlignment="1">
      <alignment horizontal="center" vertical="center"/>
    </xf>
    <xf numFmtId="0" fontId="0" fillId="0" borderId="29" xfId="0" applyBorder="1"/>
    <xf numFmtId="165" fontId="0" fillId="0" borderId="29" xfId="0" applyNumberFormat="1" applyBorder="1"/>
    <xf numFmtId="0" fontId="0" fillId="0" borderId="30" xfId="0" applyBorder="1" applyAlignment="1">
      <alignment horizontal="left"/>
    </xf>
    <xf numFmtId="167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9" fillId="0" borderId="25" xfId="0" applyFont="1" applyBorder="1" applyAlignment="1">
      <alignment horizontal="left" vertical="center" wrapText="1"/>
    </xf>
    <xf numFmtId="168" fontId="9" fillId="0" borderId="25" xfId="0" applyNumberFormat="1" applyFont="1" applyBorder="1" applyAlignment="1">
      <alignment horizontal="left" vertical="center" wrapText="1"/>
    </xf>
    <xf numFmtId="1" fontId="9" fillId="0" borderId="25" xfId="0" applyNumberFormat="1" applyFont="1" applyBorder="1" applyAlignment="1">
      <alignment horizontal="left" vertical="center" wrapText="1"/>
    </xf>
    <xf numFmtId="20" fontId="0" fillId="0" borderId="0" xfId="0" applyNumberFormat="1"/>
    <xf numFmtId="0" fontId="0" fillId="12" borderId="0" xfId="0" applyFill="1"/>
    <xf numFmtId="20" fontId="0" fillId="5" borderId="0" xfId="0" applyNumberFormat="1" applyFill="1"/>
    <xf numFmtId="20" fontId="0" fillId="13" borderId="0" xfId="0" applyNumberFormat="1" applyFill="1"/>
    <xf numFmtId="167" fontId="0" fillId="0" borderId="0" xfId="0" applyNumberFormat="1"/>
    <xf numFmtId="0" fontId="16" fillId="0" borderId="17" xfId="0" applyFont="1" applyBorder="1" applyAlignment="1">
      <alignment vertical="center"/>
    </xf>
    <xf numFmtId="0" fontId="16" fillId="0" borderId="30" xfId="0" applyFont="1" applyBorder="1" applyAlignment="1">
      <alignment horizontal="center" vertical="center"/>
    </xf>
    <xf numFmtId="0" fontId="16" fillId="14" borderId="30" xfId="0" applyFont="1" applyFill="1" applyBorder="1" applyAlignment="1">
      <alignment vertical="center"/>
    </xf>
    <xf numFmtId="167" fontId="17" fillId="0" borderId="0" xfId="0" applyNumberFormat="1" applyFont="1" applyAlignment="1">
      <alignment horizontal="center" vertical="center"/>
    </xf>
    <xf numFmtId="0" fontId="16" fillId="15" borderId="17" xfId="0" applyFont="1" applyFill="1" applyBorder="1" applyAlignment="1">
      <alignment vertical="center"/>
    </xf>
    <xf numFmtId="169" fontId="16" fillId="0" borderId="30" xfId="0" applyNumberFormat="1" applyFont="1" applyBorder="1" applyAlignment="1">
      <alignment horizontal="right" vertical="center"/>
    </xf>
    <xf numFmtId="169" fontId="16" fillId="14" borderId="30" xfId="0" applyNumberFormat="1" applyFont="1" applyFill="1" applyBorder="1" applyAlignment="1">
      <alignment horizontal="right" vertical="center"/>
    </xf>
    <xf numFmtId="0" fontId="18" fillId="0" borderId="0" xfId="0" applyFont="1" applyAlignment="1">
      <alignment horizontal="center" vertical="center"/>
    </xf>
    <xf numFmtId="1" fontId="18" fillId="0" borderId="0" xfId="0" applyNumberFormat="1" applyFont="1" applyAlignment="1">
      <alignment horizontal="center" vertical="center"/>
    </xf>
    <xf numFmtId="0" fontId="0" fillId="9" borderId="0" xfId="0" applyFill="1"/>
    <xf numFmtId="167" fontId="0" fillId="0" borderId="0" xfId="0" applyNumberFormat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1" fontId="0" fillId="17" borderId="0" xfId="0" applyNumberFormat="1" applyFill="1" applyAlignment="1">
      <alignment horizontal="center" vertical="center"/>
    </xf>
    <xf numFmtId="169" fontId="0" fillId="17" borderId="0" xfId="0" applyNumberFormat="1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1" fontId="0" fillId="18" borderId="0" xfId="0" applyNumberForma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1" fontId="0" fillId="19" borderId="0" xfId="0" applyNumberFormat="1" applyFill="1" applyAlignment="1">
      <alignment horizontal="center" vertical="center"/>
    </xf>
    <xf numFmtId="14" fontId="9" fillId="0" borderId="25" xfId="0" applyNumberFormat="1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0" fillId="20" borderId="0" xfId="0" applyFill="1" applyAlignment="1">
      <alignment horizontal="left" vertical="center"/>
    </xf>
    <xf numFmtId="14" fontId="0" fillId="20" borderId="0" xfId="0" applyNumberFormat="1" applyFill="1" applyAlignment="1">
      <alignment horizontal="center" vertical="center"/>
    </xf>
    <xf numFmtId="168" fontId="0" fillId="20" borderId="0" xfId="0" applyNumberFormat="1" applyFill="1" applyAlignment="1">
      <alignment horizontal="left" vertical="center"/>
    </xf>
    <xf numFmtId="1" fontId="0" fillId="20" borderId="0" xfId="0" applyNumberFormat="1" applyFill="1" applyAlignment="1">
      <alignment horizontal="left" vertical="center"/>
    </xf>
    <xf numFmtId="0" fontId="0" fillId="20" borderId="0" xfId="0" applyFill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2" fontId="0" fillId="0" borderId="0" xfId="0" applyNumberFormat="1"/>
    <xf numFmtId="1" fontId="0" fillId="0" borderId="0" xfId="0" applyNumberFormat="1" applyAlignment="1">
      <alignment horizontal="center" vertical="center"/>
    </xf>
    <xf numFmtId="0" fontId="19" fillId="21" borderId="22" xfId="0" applyFont="1" applyFill="1" applyBorder="1" applyAlignment="1">
      <alignment horizontal="center" vertical="center" wrapText="1"/>
    </xf>
    <xf numFmtId="0" fontId="20" fillId="22" borderId="24" xfId="0" applyFont="1" applyFill="1" applyBorder="1" applyAlignment="1" applyProtection="1">
      <alignment horizontal="center" vertical="center"/>
      <protection locked="0"/>
    </xf>
    <xf numFmtId="0" fontId="21" fillId="22" borderId="24" xfId="0" applyFont="1" applyFill="1" applyBorder="1" applyAlignment="1" applyProtection="1">
      <alignment horizontal="center" vertical="center"/>
      <protection locked="0"/>
    </xf>
    <xf numFmtId="168" fontId="20" fillId="22" borderId="24" xfId="0" applyNumberFormat="1" applyFont="1" applyFill="1" applyBorder="1" applyAlignment="1" applyProtection="1">
      <alignment horizontal="center" vertical="center"/>
      <protection locked="0"/>
    </xf>
    <xf numFmtId="14" fontId="20" fillId="0" borderId="23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4" fillId="5" borderId="28" xfId="0" applyFont="1" applyFill="1" applyBorder="1" applyAlignment="1" applyProtection="1">
      <alignment horizontal="left" vertical="top"/>
      <protection locked="0"/>
    </xf>
    <xf numFmtId="0" fontId="15" fillId="0" borderId="5" xfId="0" applyFont="1" applyBorder="1" applyAlignment="1">
      <alignment horizontal="left" vertical="top" wrapText="1"/>
    </xf>
    <xf numFmtId="0" fontId="15" fillId="0" borderId="18" xfId="0" applyFont="1" applyBorder="1" applyAlignment="1">
      <alignment horizontal="left" vertical="top" wrapText="1"/>
    </xf>
    <xf numFmtId="0" fontId="10" fillId="0" borderId="8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166" fontId="9" fillId="0" borderId="15" xfId="0" applyNumberFormat="1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/>
    </xf>
    <xf numFmtId="0" fontId="8" fillId="0" borderId="4" xfId="0" applyFont="1" applyBorder="1" applyAlignment="1">
      <alignment horizontal="left" vertical="center" wrapText="1"/>
    </xf>
    <xf numFmtId="0" fontId="4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right" vertical="center" wrapText="1"/>
    </xf>
    <xf numFmtId="0" fontId="6" fillId="4" borderId="1" xfId="0" applyFont="1" applyFill="1" applyBorder="1" applyAlignment="1">
      <alignment horizontal="center" vertical="center" wrapText="1"/>
    </xf>
    <xf numFmtId="164" fontId="7" fillId="0" borderId="3" xfId="0" applyNumberFormat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</cellXfs>
  <cellStyles count="1">
    <cellStyle name="Normal" xfId="0" builtinId="0"/>
  </cellStyles>
  <dxfs count="17">
    <dxf>
      <font>
        <b/>
        <color rgb="FF006100"/>
        <name val="Arial"/>
        <charset val="1"/>
      </font>
      <fill>
        <patternFill>
          <bgColor rgb="FFC6EFCE"/>
        </patternFill>
      </fill>
    </dxf>
    <dxf>
      <font>
        <b/>
        <color rgb="FF9C6500"/>
        <name val="Arial"/>
        <charset val="1"/>
      </font>
      <fill>
        <patternFill>
          <bgColor rgb="FFFFEB9C"/>
        </patternFill>
      </fill>
    </dxf>
    <dxf>
      <font>
        <b/>
        <color rgb="FF9C0006"/>
        <name val="Arial"/>
        <charset val="1"/>
      </font>
      <fill>
        <patternFill>
          <bgColor rgb="FFFFC7CE"/>
        </patternFill>
      </fill>
    </dxf>
    <dxf>
      <font>
        <b/>
        <color rgb="FFFFFFFF"/>
        <name val="Arial"/>
        <charset val="1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theme="4" tint="0.79998168889431442"/>
        </patternFill>
      </fill>
    </dxf>
    <dxf>
      <font>
        <b/>
        <color rgb="FFFFFFFF"/>
      </font>
      <fill>
        <patternFill>
          <bgColor rgb="FFFF0000"/>
        </patternFill>
      </fill>
    </dxf>
    <dxf>
      <font>
        <b/>
      </font>
      <fill>
        <patternFill>
          <bgColor rgb="FFFFC000"/>
        </patternFill>
      </fill>
    </dxf>
    <dxf>
      <fill>
        <patternFill>
          <bgColor theme="4" tint="0.79989013336588644"/>
        </patternFill>
      </fill>
    </dxf>
    <dxf>
      <font>
        <b/>
        <color rgb="FFFFFFFF"/>
      </font>
      <fill>
        <patternFill>
          <bgColor rgb="FFFF0000"/>
        </patternFill>
      </fill>
    </dxf>
    <dxf>
      <font>
        <b/>
      </font>
      <fill>
        <patternFill>
          <bgColor rgb="FF00FF00"/>
        </patternFill>
      </fill>
    </dxf>
    <dxf>
      <fill>
        <patternFill>
          <bgColor theme="4" tint="0.79989013336588644"/>
        </patternFill>
      </fill>
    </dxf>
    <dxf>
      <font>
        <b/>
        <color rgb="FFFFFFFF"/>
      </font>
      <fill>
        <patternFill>
          <bgColor rgb="FFFF0000"/>
        </patternFill>
      </fill>
    </dxf>
    <dxf>
      <font>
        <b/>
      </font>
      <fill>
        <patternFill>
          <bgColor rgb="FFFFC000"/>
        </patternFill>
      </fill>
    </dxf>
    <dxf>
      <fill>
        <patternFill>
          <bgColor theme="4" tint="0.79989013336588644"/>
        </patternFill>
      </fill>
    </dxf>
    <dxf>
      <font>
        <b/>
      </font>
      <fill>
        <patternFill>
          <bgColor rgb="FF00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9C6500"/>
      <rgbColor rgb="FF800080"/>
      <rgbColor rgb="FF008080"/>
      <rgbColor rgb="FFAEAEAE"/>
      <rgbColor rgb="FF808080"/>
      <rgbColor rgb="FF83CBEB"/>
      <rgbColor rgb="FF993366"/>
      <rgbColor rgb="FFFFF2CC"/>
      <rgbColor rgb="FFCAEEFB"/>
      <rgbColor rgb="FF660066"/>
      <rgbColor rgb="FFF6C6AD"/>
      <rgbColor rgb="FF0066CC"/>
      <rgbColor rgb="FFD1D1D1"/>
      <rgbColor rgb="FF000080"/>
      <rgbColor rgb="FFFF00FF"/>
      <rgbColor rgb="FFD9D9D9"/>
      <rgbColor rgb="FF00FFFF"/>
      <rgbColor rgb="FF800080"/>
      <rgbColor rgb="FFC00000"/>
      <rgbColor rgb="FF008080"/>
      <rgbColor rgb="FF0000FF"/>
      <rgbColor rgb="FF00CCFF"/>
      <rgbColor rgb="FFCAEDFB"/>
      <rgbColor rgb="FFC6EFCE"/>
      <rgbColor rgb="FFFFEB9C"/>
      <rgbColor rgb="FF96DCF8"/>
      <rgbColor rgb="FFE59EDD"/>
      <rgbColor rgb="FFF2CFEE"/>
      <rgbColor rgb="FFF7C7AC"/>
      <rgbColor rgb="FF3366FF"/>
      <rgbColor rgb="FF47D45A"/>
      <rgbColor rgb="FFC1E5F5"/>
      <rgbColor rgb="FFFFC000"/>
      <rgbColor rgb="FFFFC7CE"/>
      <rgbColor rgb="FFFF6600"/>
      <rgbColor rgb="FF595959"/>
      <rgbColor rgb="FF8B8B8B"/>
      <rgbColor rgb="FF003366"/>
      <rgbColor rgb="FFD9E2F3"/>
      <rgbColor rgb="FF003300"/>
      <rgbColor rgb="FF333300"/>
      <rgbColor rgb="FF993300"/>
      <rgbColor rgb="FF993366"/>
      <rgbColor rgb="FF1F4E78"/>
      <rgbColor rgb="FF37562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Aptos Narrow"/>
              </a:defRPr>
            </a:pPr>
            <a:r>
              <a:rPr lang="es-AR" sz="1800" b="1" strike="noStrike" spc="-1">
                <a:solidFill>
                  <a:srgbClr val="000000"/>
                </a:solidFill>
                <a:latin typeface="Aptos Narrow"/>
              </a:rPr>
              <a:t>Control de Peso (gr) por Registro - Cp / Cpk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GRÁFICO!$AB$1</c:f>
              <c:strCache>
                <c:ptCount val="1"/>
                <c:pt idx="0">
                  <c:v>Peso (gr)</c:v>
                </c:pt>
              </c:strCache>
            </c:strRef>
          </c:tx>
          <c:spPr>
            <a:ln w="15120">
              <a:solidFill>
                <a:srgbClr val="1F4E78"/>
              </a:solidFill>
              <a:round/>
            </a:ln>
          </c:spPr>
          <c:marker>
            <c:symbol val="circle"/>
            <c:size val="5"/>
            <c:spPr>
              <a:solidFill>
                <a:srgbClr val="1F4E78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s-A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GRÁFICO!Graf_N</c:f>
              <c:strCache>
                <c:ptCount val="50"/>
                <c:pt idx="0">
                  <c:v>M 1</c:v>
                </c:pt>
                <c:pt idx="1">
                  <c:v>M 2</c:v>
                </c:pt>
                <c:pt idx="2">
                  <c:v>M 3</c:v>
                </c:pt>
                <c:pt idx="3">
                  <c:v>M 4</c:v>
                </c:pt>
                <c:pt idx="4">
                  <c:v>M 5</c:v>
                </c:pt>
                <c:pt idx="5">
                  <c:v>M 6</c:v>
                </c:pt>
                <c:pt idx="6">
                  <c:v>M 7</c:v>
                </c:pt>
                <c:pt idx="7">
                  <c:v>M 8</c:v>
                </c:pt>
                <c:pt idx="8">
                  <c:v>M 9</c:v>
                </c:pt>
                <c:pt idx="9">
                  <c:v>M 10</c:v>
                </c:pt>
                <c:pt idx="10">
                  <c:v>M 11</c:v>
                </c:pt>
                <c:pt idx="11">
                  <c:v>M 12</c:v>
                </c:pt>
                <c:pt idx="12">
                  <c:v>M 13</c:v>
                </c:pt>
                <c:pt idx="13">
                  <c:v>M 14</c:v>
                </c:pt>
                <c:pt idx="14">
                  <c:v>M 15</c:v>
                </c:pt>
                <c:pt idx="15">
                  <c:v>M 16</c:v>
                </c:pt>
                <c:pt idx="16">
                  <c:v>M 17</c:v>
                </c:pt>
                <c:pt idx="17">
                  <c:v>M 18</c:v>
                </c:pt>
                <c:pt idx="18">
                  <c:v>M 19</c:v>
                </c:pt>
                <c:pt idx="19">
                  <c:v>M 20</c:v>
                </c:pt>
                <c:pt idx="20">
                  <c:v>M 21</c:v>
                </c:pt>
                <c:pt idx="21">
                  <c:v>M 22</c:v>
                </c:pt>
                <c:pt idx="22">
                  <c:v>M 23</c:v>
                </c:pt>
                <c:pt idx="23">
                  <c:v>M 24</c:v>
                </c:pt>
                <c:pt idx="24">
                  <c:v>M 25</c:v>
                </c:pt>
                <c:pt idx="25">
                  <c:v>M 26</c:v>
                </c:pt>
                <c:pt idx="26">
                  <c:v>M 27</c:v>
                </c:pt>
                <c:pt idx="27">
                  <c:v>M 28</c:v>
                </c:pt>
                <c:pt idx="28">
                  <c:v>M 29</c:v>
                </c:pt>
                <c:pt idx="29">
                  <c:v>M 30</c:v>
                </c:pt>
                <c:pt idx="30">
                  <c:v>M 31</c:v>
                </c:pt>
                <c:pt idx="31">
                  <c:v>M 32</c:v>
                </c:pt>
                <c:pt idx="32">
                  <c:v>M 33</c:v>
                </c:pt>
                <c:pt idx="33">
                  <c:v>M 34</c:v>
                </c:pt>
                <c:pt idx="34">
                  <c:v>M 35</c:v>
                </c:pt>
                <c:pt idx="35">
                  <c:v>M 36</c:v>
                </c:pt>
                <c:pt idx="36">
                  <c:v>M 37</c:v>
                </c:pt>
                <c:pt idx="37">
                  <c:v>M 38</c:v>
                </c:pt>
                <c:pt idx="38">
                  <c:v>M 39</c:v>
                </c:pt>
                <c:pt idx="39">
                  <c:v>M 40</c:v>
                </c:pt>
                <c:pt idx="40">
                  <c:v>M 41</c:v>
                </c:pt>
                <c:pt idx="41">
                  <c:v>M 42</c:v>
                </c:pt>
                <c:pt idx="42">
                  <c:v>M 43</c:v>
                </c:pt>
                <c:pt idx="43">
                  <c:v>M 44</c:v>
                </c:pt>
                <c:pt idx="44">
                  <c:v>M 45</c:v>
                </c:pt>
                <c:pt idx="45">
                  <c:v>M 46</c:v>
                </c:pt>
                <c:pt idx="46">
                  <c:v>M 47</c:v>
                </c:pt>
                <c:pt idx="47">
                  <c:v>M 48</c:v>
                </c:pt>
                <c:pt idx="48">
                  <c:v>M 49</c:v>
                </c:pt>
                <c:pt idx="49">
                  <c:v>M 50</c:v>
                </c:pt>
              </c:strCache>
            </c:strRef>
          </c:cat>
          <c:val>
            <c:numRef>
              <c:f>GRÁFICO!Graf_Peso</c:f>
              <c:numCache>
                <c:formatCode>0</c:formatCode>
                <c:ptCount val="50"/>
                <c:pt idx="0">
                  <c:v>975</c:v>
                </c:pt>
                <c:pt idx="1">
                  <c:v>975</c:v>
                </c:pt>
                <c:pt idx="2">
                  <c:v>995</c:v>
                </c:pt>
                <c:pt idx="3">
                  <c:v>980</c:v>
                </c:pt>
                <c:pt idx="4">
                  <c:v>980</c:v>
                </c:pt>
                <c:pt idx="5">
                  <c:v>980</c:v>
                </c:pt>
                <c:pt idx="6">
                  <c:v>975</c:v>
                </c:pt>
                <c:pt idx="7">
                  <c:v>975</c:v>
                </c:pt>
                <c:pt idx="8">
                  <c:v>975</c:v>
                </c:pt>
                <c:pt idx="9">
                  <c:v>975</c:v>
                </c:pt>
                <c:pt idx="10">
                  <c:v>975</c:v>
                </c:pt>
                <c:pt idx="11">
                  <c:v>975</c:v>
                </c:pt>
                <c:pt idx="12">
                  <c:v>975</c:v>
                </c:pt>
                <c:pt idx="13">
                  <c:v>995</c:v>
                </c:pt>
                <c:pt idx="14">
                  <c:v>975</c:v>
                </c:pt>
                <c:pt idx="15">
                  <c:v>975</c:v>
                </c:pt>
                <c:pt idx="16">
                  <c:v>980</c:v>
                </c:pt>
                <c:pt idx="17">
                  <c:v>980</c:v>
                </c:pt>
                <c:pt idx="18">
                  <c:v>975</c:v>
                </c:pt>
                <c:pt idx="19">
                  <c:v>975</c:v>
                </c:pt>
                <c:pt idx="20">
                  <c:v>975</c:v>
                </c:pt>
                <c:pt idx="21">
                  <c:v>975</c:v>
                </c:pt>
                <c:pt idx="22">
                  <c:v>990</c:v>
                </c:pt>
                <c:pt idx="23">
                  <c:v>990</c:v>
                </c:pt>
                <c:pt idx="24">
                  <c:v>975</c:v>
                </c:pt>
                <c:pt idx="25">
                  <c:v>975</c:v>
                </c:pt>
                <c:pt idx="26">
                  <c:v>975</c:v>
                </c:pt>
                <c:pt idx="27">
                  <c:v>975</c:v>
                </c:pt>
                <c:pt idx="28">
                  <c:v>975</c:v>
                </c:pt>
                <c:pt idx="29">
                  <c:v>975</c:v>
                </c:pt>
                <c:pt idx="30">
                  <c:v>975</c:v>
                </c:pt>
                <c:pt idx="31">
                  <c:v>975</c:v>
                </c:pt>
                <c:pt idx="32">
                  <c:v>985</c:v>
                </c:pt>
                <c:pt idx="33">
                  <c:v>985</c:v>
                </c:pt>
                <c:pt idx="34">
                  <c:v>975</c:v>
                </c:pt>
                <c:pt idx="35">
                  <c:v>975</c:v>
                </c:pt>
                <c:pt idx="36">
                  <c:v>975</c:v>
                </c:pt>
                <c:pt idx="37">
                  <c:v>975</c:v>
                </c:pt>
                <c:pt idx="38">
                  <c:v>975</c:v>
                </c:pt>
                <c:pt idx="39">
                  <c:v>975</c:v>
                </c:pt>
                <c:pt idx="40">
                  <c:v>975</c:v>
                </c:pt>
                <c:pt idx="41">
                  <c:v>975</c:v>
                </c:pt>
                <c:pt idx="42">
                  <c:v>975</c:v>
                </c:pt>
                <c:pt idx="43">
                  <c:v>975</c:v>
                </c:pt>
                <c:pt idx="44">
                  <c:v>975</c:v>
                </c:pt>
                <c:pt idx="45">
                  <c:v>975</c:v>
                </c:pt>
                <c:pt idx="46">
                  <c:v>960</c:v>
                </c:pt>
                <c:pt idx="47">
                  <c:v>960</c:v>
                </c:pt>
                <c:pt idx="48">
                  <c:v>975</c:v>
                </c:pt>
                <c:pt idx="49">
                  <c:v>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67-4DAA-84FE-3F1837D2FC71}"/>
            </c:ext>
          </c:extLst>
        </c:ser>
        <c:ser>
          <c:idx val="1"/>
          <c:order val="1"/>
          <c:tx>
            <c:strRef>
              <c:f>GRÁFICO!$AC$1</c:f>
              <c:strCache>
                <c:ptCount val="1"/>
                <c:pt idx="0">
                  <c:v>LCS</c:v>
                </c:pt>
              </c:strCache>
            </c:strRef>
          </c:tx>
          <c:spPr>
            <a:ln w="18000">
              <a:solidFill>
                <a:srgbClr val="C00000"/>
              </a:solidFill>
              <a:prstDash val="dash"/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s-A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GRÁFICO!Graf_N</c:f>
              <c:strCache>
                <c:ptCount val="50"/>
                <c:pt idx="0">
                  <c:v>M 1</c:v>
                </c:pt>
                <c:pt idx="1">
                  <c:v>M 2</c:v>
                </c:pt>
                <c:pt idx="2">
                  <c:v>M 3</c:v>
                </c:pt>
                <c:pt idx="3">
                  <c:v>M 4</c:v>
                </c:pt>
                <c:pt idx="4">
                  <c:v>M 5</c:v>
                </c:pt>
                <c:pt idx="5">
                  <c:v>M 6</c:v>
                </c:pt>
                <c:pt idx="6">
                  <c:v>M 7</c:v>
                </c:pt>
                <c:pt idx="7">
                  <c:v>M 8</c:v>
                </c:pt>
                <c:pt idx="8">
                  <c:v>M 9</c:v>
                </c:pt>
                <c:pt idx="9">
                  <c:v>M 10</c:v>
                </c:pt>
                <c:pt idx="10">
                  <c:v>M 11</c:v>
                </c:pt>
                <c:pt idx="11">
                  <c:v>M 12</c:v>
                </c:pt>
                <c:pt idx="12">
                  <c:v>M 13</c:v>
                </c:pt>
                <c:pt idx="13">
                  <c:v>M 14</c:v>
                </c:pt>
                <c:pt idx="14">
                  <c:v>M 15</c:v>
                </c:pt>
                <c:pt idx="15">
                  <c:v>M 16</c:v>
                </c:pt>
                <c:pt idx="16">
                  <c:v>M 17</c:v>
                </c:pt>
                <c:pt idx="17">
                  <c:v>M 18</c:v>
                </c:pt>
                <c:pt idx="18">
                  <c:v>M 19</c:v>
                </c:pt>
                <c:pt idx="19">
                  <c:v>M 20</c:v>
                </c:pt>
                <c:pt idx="20">
                  <c:v>M 21</c:v>
                </c:pt>
                <c:pt idx="21">
                  <c:v>M 22</c:v>
                </c:pt>
                <c:pt idx="22">
                  <c:v>M 23</c:v>
                </c:pt>
                <c:pt idx="23">
                  <c:v>M 24</c:v>
                </c:pt>
                <c:pt idx="24">
                  <c:v>M 25</c:v>
                </c:pt>
                <c:pt idx="25">
                  <c:v>M 26</c:v>
                </c:pt>
                <c:pt idx="26">
                  <c:v>M 27</c:v>
                </c:pt>
                <c:pt idx="27">
                  <c:v>M 28</c:v>
                </c:pt>
                <c:pt idx="28">
                  <c:v>M 29</c:v>
                </c:pt>
                <c:pt idx="29">
                  <c:v>M 30</c:v>
                </c:pt>
                <c:pt idx="30">
                  <c:v>M 31</c:v>
                </c:pt>
                <c:pt idx="31">
                  <c:v>M 32</c:v>
                </c:pt>
                <c:pt idx="32">
                  <c:v>M 33</c:v>
                </c:pt>
                <c:pt idx="33">
                  <c:v>M 34</c:v>
                </c:pt>
                <c:pt idx="34">
                  <c:v>M 35</c:v>
                </c:pt>
                <c:pt idx="35">
                  <c:v>M 36</c:v>
                </c:pt>
                <c:pt idx="36">
                  <c:v>M 37</c:v>
                </c:pt>
                <c:pt idx="37">
                  <c:v>M 38</c:v>
                </c:pt>
                <c:pt idx="38">
                  <c:v>M 39</c:v>
                </c:pt>
                <c:pt idx="39">
                  <c:v>M 40</c:v>
                </c:pt>
                <c:pt idx="40">
                  <c:v>M 41</c:v>
                </c:pt>
                <c:pt idx="41">
                  <c:v>M 42</c:v>
                </c:pt>
                <c:pt idx="42">
                  <c:v>M 43</c:v>
                </c:pt>
                <c:pt idx="43">
                  <c:v>M 44</c:v>
                </c:pt>
                <c:pt idx="44">
                  <c:v>M 45</c:v>
                </c:pt>
                <c:pt idx="45">
                  <c:v>M 46</c:v>
                </c:pt>
                <c:pt idx="46">
                  <c:v>M 47</c:v>
                </c:pt>
                <c:pt idx="47">
                  <c:v>M 48</c:v>
                </c:pt>
                <c:pt idx="48">
                  <c:v>M 49</c:v>
                </c:pt>
                <c:pt idx="49">
                  <c:v>M 50</c:v>
                </c:pt>
              </c:strCache>
            </c:strRef>
          </c:cat>
          <c:val>
            <c:numRef>
              <c:f>GRÁFICO!Graf_LCS</c:f>
              <c:numCache>
                <c:formatCode>0</c:formatCode>
                <c:ptCount val="50"/>
                <c:pt idx="0">
                  <c:v>1022.2750000000009</c:v>
                </c:pt>
                <c:pt idx="1">
                  <c:v>1022.2750000000009</c:v>
                </c:pt>
                <c:pt idx="2">
                  <c:v>1022.2750000000009</c:v>
                </c:pt>
                <c:pt idx="3">
                  <c:v>1022.2750000000009</c:v>
                </c:pt>
                <c:pt idx="4">
                  <c:v>1022.2750000000009</c:v>
                </c:pt>
                <c:pt idx="5">
                  <c:v>1022.2750000000009</c:v>
                </c:pt>
                <c:pt idx="6">
                  <c:v>1022.2750000000009</c:v>
                </c:pt>
                <c:pt idx="7">
                  <c:v>1022.2750000000009</c:v>
                </c:pt>
                <c:pt idx="8">
                  <c:v>1022.2750000000009</c:v>
                </c:pt>
                <c:pt idx="9">
                  <c:v>1022.2750000000009</c:v>
                </c:pt>
                <c:pt idx="10">
                  <c:v>1022.2750000000009</c:v>
                </c:pt>
                <c:pt idx="11">
                  <c:v>1022.2750000000009</c:v>
                </c:pt>
                <c:pt idx="12">
                  <c:v>1022.2750000000009</c:v>
                </c:pt>
                <c:pt idx="13">
                  <c:v>1022.2750000000009</c:v>
                </c:pt>
                <c:pt idx="14">
                  <c:v>1022.2750000000009</c:v>
                </c:pt>
                <c:pt idx="15">
                  <c:v>1022.2750000000009</c:v>
                </c:pt>
                <c:pt idx="16">
                  <c:v>1022.2750000000009</c:v>
                </c:pt>
                <c:pt idx="17">
                  <c:v>1022.2750000000009</c:v>
                </c:pt>
                <c:pt idx="18">
                  <c:v>1022.2750000000009</c:v>
                </c:pt>
                <c:pt idx="19">
                  <c:v>1022.2750000000009</c:v>
                </c:pt>
                <c:pt idx="20">
                  <c:v>1022.2750000000009</c:v>
                </c:pt>
                <c:pt idx="21">
                  <c:v>1022.2750000000009</c:v>
                </c:pt>
                <c:pt idx="22">
                  <c:v>1022.2750000000009</c:v>
                </c:pt>
                <c:pt idx="23">
                  <c:v>1022.2750000000009</c:v>
                </c:pt>
                <c:pt idx="24">
                  <c:v>1022.2750000000009</c:v>
                </c:pt>
                <c:pt idx="25">
                  <c:v>1022.2750000000009</c:v>
                </c:pt>
                <c:pt idx="26">
                  <c:v>1022.2750000000009</c:v>
                </c:pt>
                <c:pt idx="27">
                  <c:v>1022.2750000000009</c:v>
                </c:pt>
                <c:pt idx="28">
                  <c:v>1022.2750000000009</c:v>
                </c:pt>
                <c:pt idx="29">
                  <c:v>1022.2750000000009</c:v>
                </c:pt>
                <c:pt idx="30">
                  <c:v>1022.2750000000009</c:v>
                </c:pt>
                <c:pt idx="31">
                  <c:v>1022.2750000000009</c:v>
                </c:pt>
                <c:pt idx="32">
                  <c:v>1022.2750000000009</c:v>
                </c:pt>
                <c:pt idx="33">
                  <c:v>1022.2750000000009</c:v>
                </c:pt>
                <c:pt idx="34">
                  <c:v>1022.2750000000009</c:v>
                </c:pt>
                <c:pt idx="35">
                  <c:v>1022.2750000000009</c:v>
                </c:pt>
                <c:pt idx="36">
                  <c:v>1022.2750000000009</c:v>
                </c:pt>
                <c:pt idx="37">
                  <c:v>1022.2750000000009</c:v>
                </c:pt>
                <c:pt idx="38">
                  <c:v>1022.2750000000009</c:v>
                </c:pt>
                <c:pt idx="39">
                  <c:v>1022.2750000000009</c:v>
                </c:pt>
                <c:pt idx="40">
                  <c:v>1022.2750000000009</c:v>
                </c:pt>
                <c:pt idx="41">
                  <c:v>1022.2750000000009</c:v>
                </c:pt>
                <c:pt idx="42">
                  <c:v>1022.2750000000009</c:v>
                </c:pt>
                <c:pt idx="43">
                  <c:v>1022.2750000000009</c:v>
                </c:pt>
                <c:pt idx="44">
                  <c:v>1022.2750000000009</c:v>
                </c:pt>
                <c:pt idx="45">
                  <c:v>1022.2750000000009</c:v>
                </c:pt>
                <c:pt idx="46">
                  <c:v>1022.2750000000009</c:v>
                </c:pt>
                <c:pt idx="47">
                  <c:v>1022.2750000000009</c:v>
                </c:pt>
                <c:pt idx="48">
                  <c:v>1022.2750000000009</c:v>
                </c:pt>
                <c:pt idx="49">
                  <c:v>1022.2750000000009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67-4DAA-84FE-3F1837D2FC71}"/>
            </c:ext>
          </c:extLst>
        </c:ser>
        <c:ser>
          <c:idx val="2"/>
          <c:order val="2"/>
          <c:tx>
            <c:strRef>
              <c:f>GRÁFICO!$AD$1</c:f>
              <c:strCache>
                <c:ptCount val="1"/>
                <c:pt idx="0">
                  <c:v>LCI</c:v>
                </c:pt>
              </c:strCache>
            </c:strRef>
          </c:tx>
          <c:spPr>
            <a:ln w="18000">
              <a:solidFill>
                <a:srgbClr val="C00000"/>
              </a:solidFill>
              <a:prstDash val="dash"/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s-A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GRÁFICO!Graf_N</c:f>
              <c:strCache>
                <c:ptCount val="50"/>
                <c:pt idx="0">
                  <c:v>M 1</c:v>
                </c:pt>
                <c:pt idx="1">
                  <c:v>M 2</c:v>
                </c:pt>
                <c:pt idx="2">
                  <c:v>M 3</c:v>
                </c:pt>
                <c:pt idx="3">
                  <c:v>M 4</c:v>
                </c:pt>
                <c:pt idx="4">
                  <c:v>M 5</c:v>
                </c:pt>
                <c:pt idx="5">
                  <c:v>M 6</c:v>
                </c:pt>
                <c:pt idx="6">
                  <c:v>M 7</c:v>
                </c:pt>
                <c:pt idx="7">
                  <c:v>M 8</c:v>
                </c:pt>
                <c:pt idx="8">
                  <c:v>M 9</c:v>
                </c:pt>
                <c:pt idx="9">
                  <c:v>M 10</c:v>
                </c:pt>
                <c:pt idx="10">
                  <c:v>M 11</c:v>
                </c:pt>
                <c:pt idx="11">
                  <c:v>M 12</c:v>
                </c:pt>
                <c:pt idx="12">
                  <c:v>M 13</c:v>
                </c:pt>
                <c:pt idx="13">
                  <c:v>M 14</c:v>
                </c:pt>
                <c:pt idx="14">
                  <c:v>M 15</c:v>
                </c:pt>
                <c:pt idx="15">
                  <c:v>M 16</c:v>
                </c:pt>
                <c:pt idx="16">
                  <c:v>M 17</c:v>
                </c:pt>
                <c:pt idx="17">
                  <c:v>M 18</c:v>
                </c:pt>
                <c:pt idx="18">
                  <c:v>M 19</c:v>
                </c:pt>
                <c:pt idx="19">
                  <c:v>M 20</c:v>
                </c:pt>
                <c:pt idx="20">
                  <c:v>M 21</c:v>
                </c:pt>
                <c:pt idx="21">
                  <c:v>M 22</c:v>
                </c:pt>
                <c:pt idx="22">
                  <c:v>M 23</c:v>
                </c:pt>
                <c:pt idx="23">
                  <c:v>M 24</c:v>
                </c:pt>
                <c:pt idx="24">
                  <c:v>M 25</c:v>
                </c:pt>
                <c:pt idx="25">
                  <c:v>M 26</c:v>
                </c:pt>
                <c:pt idx="26">
                  <c:v>M 27</c:v>
                </c:pt>
                <c:pt idx="27">
                  <c:v>M 28</c:v>
                </c:pt>
                <c:pt idx="28">
                  <c:v>M 29</c:v>
                </c:pt>
                <c:pt idx="29">
                  <c:v>M 30</c:v>
                </c:pt>
                <c:pt idx="30">
                  <c:v>M 31</c:v>
                </c:pt>
                <c:pt idx="31">
                  <c:v>M 32</c:v>
                </c:pt>
                <c:pt idx="32">
                  <c:v>M 33</c:v>
                </c:pt>
                <c:pt idx="33">
                  <c:v>M 34</c:v>
                </c:pt>
                <c:pt idx="34">
                  <c:v>M 35</c:v>
                </c:pt>
                <c:pt idx="35">
                  <c:v>M 36</c:v>
                </c:pt>
                <c:pt idx="36">
                  <c:v>M 37</c:v>
                </c:pt>
                <c:pt idx="37">
                  <c:v>M 38</c:v>
                </c:pt>
                <c:pt idx="38">
                  <c:v>M 39</c:v>
                </c:pt>
                <c:pt idx="39">
                  <c:v>M 40</c:v>
                </c:pt>
                <c:pt idx="40">
                  <c:v>M 41</c:v>
                </c:pt>
                <c:pt idx="41">
                  <c:v>M 42</c:v>
                </c:pt>
                <c:pt idx="42">
                  <c:v>M 43</c:v>
                </c:pt>
                <c:pt idx="43">
                  <c:v>M 44</c:v>
                </c:pt>
                <c:pt idx="44">
                  <c:v>M 45</c:v>
                </c:pt>
                <c:pt idx="45">
                  <c:v>M 46</c:v>
                </c:pt>
                <c:pt idx="46">
                  <c:v>M 47</c:v>
                </c:pt>
                <c:pt idx="47">
                  <c:v>M 48</c:v>
                </c:pt>
                <c:pt idx="48">
                  <c:v>M 49</c:v>
                </c:pt>
                <c:pt idx="49">
                  <c:v>M 50</c:v>
                </c:pt>
              </c:strCache>
            </c:strRef>
          </c:cat>
          <c:val>
            <c:numRef>
              <c:f>GRÁFICO!Graf_LCI</c:f>
              <c:numCache>
                <c:formatCode>0</c:formatCode>
                <c:ptCount val="50"/>
                <c:pt idx="0">
                  <c:v>962.72499999999911</c:v>
                </c:pt>
                <c:pt idx="1">
                  <c:v>962.72499999999911</c:v>
                </c:pt>
                <c:pt idx="2">
                  <c:v>962.72499999999911</c:v>
                </c:pt>
                <c:pt idx="3">
                  <c:v>962.72499999999911</c:v>
                </c:pt>
                <c:pt idx="4">
                  <c:v>962.72499999999911</c:v>
                </c:pt>
                <c:pt idx="5">
                  <c:v>962.72499999999911</c:v>
                </c:pt>
                <c:pt idx="6">
                  <c:v>962.72499999999911</c:v>
                </c:pt>
                <c:pt idx="7">
                  <c:v>962.72499999999911</c:v>
                </c:pt>
                <c:pt idx="8">
                  <c:v>962.72499999999911</c:v>
                </c:pt>
                <c:pt idx="9">
                  <c:v>962.72499999999911</c:v>
                </c:pt>
                <c:pt idx="10">
                  <c:v>962.72499999999911</c:v>
                </c:pt>
                <c:pt idx="11">
                  <c:v>962.72499999999911</c:v>
                </c:pt>
                <c:pt idx="12">
                  <c:v>962.72499999999911</c:v>
                </c:pt>
                <c:pt idx="13">
                  <c:v>962.72499999999911</c:v>
                </c:pt>
                <c:pt idx="14">
                  <c:v>962.72499999999911</c:v>
                </c:pt>
                <c:pt idx="15">
                  <c:v>962.72499999999911</c:v>
                </c:pt>
                <c:pt idx="16">
                  <c:v>962.72499999999911</c:v>
                </c:pt>
                <c:pt idx="17">
                  <c:v>962.72499999999911</c:v>
                </c:pt>
                <c:pt idx="18">
                  <c:v>962.72499999999911</c:v>
                </c:pt>
                <c:pt idx="19">
                  <c:v>962.72499999999911</c:v>
                </c:pt>
                <c:pt idx="20">
                  <c:v>962.72499999999911</c:v>
                </c:pt>
                <c:pt idx="21">
                  <c:v>962.72499999999911</c:v>
                </c:pt>
                <c:pt idx="22">
                  <c:v>962.72499999999911</c:v>
                </c:pt>
                <c:pt idx="23">
                  <c:v>962.72499999999911</c:v>
                </c:pt>
                <c:pt idx="24">
                  <c:v>962.72499999999911</c:v>
                </c:pt>
                <c:pt idx="25">
                  <c:v>962.72499999999911</c:v>
                </c:pt>
                <c:pt idx="26">
                  <c:v>962.72499999999911</c:v>
                </c:pt>
                <c:pt idx="27">
                  <c:v>962.72499999999911</c:v>
                </c:pt>
                <c:pt idx="28">
                  <c:v>962.72499999999911</c:v>
                </c:pt>
                <c:pt idx="29">
                  <c:v>962.72499999999911</c:v>
                </c:pt>
                <c:pt idx="30">
                  <c:v>962.72499999999911</c:v>
                </c:pt>
                <c:pt idx="31">
                  <c:v>962.72499999999911</c:v>
                </c:pt>
                <c:pt idx="32">
                  <c:v>962.72499999999911</c:v>
                </c:pt>
                <c:pt idx="33">
                  <c:v>962.72499999999911</c:v>
                </c:pt>
                <c:pt idx="34">
                  <c:v>962.72499999999911</c:v>
                </c:pt>
                <c:pt idx="35">
                  <c:v>962.72499999999911</c:v>
                </c:pt>
                <c:pt idx="36">
                  <c:v>962.72499999999911</c:v>
                </c:pt>
                <c:pt idx="37">
                  <c:v>962.72499999999911</c:v>
                </c:pt>
                <c:pt idx="38">
                  <c:v>962.72499999999911</c:v>
                </c:pt>
                <c:pt idx="39">
                  <c:v>962.72499999999911</c:v>
                </c:pt>
                <c:pt idx="40">
                  <c:v>962.72499999999911</c:v>
                </c:pt>
                <c:pt idx="41">
                  <c:v>962.72499999999911</c:v>
                </c:pt>
                <c:pt idx="42">
                  <c:v>962.72499999999911</c:v>
                </c:pt>
                <c:pt idx="43">
                  <c:v>962.72499999999911</c:v>
                </c:pt>
                <c:pt idx="44">
                  <c:v>962.72499999999911</c:v>
                </c:pt>
                <c:pt idx="45">
                  <c:v>962.72499999999911</c:v>
                </c:pt>
                <c:pt idx="46">
                  <c:v>962.72499999999911</c:v>
                </c:pt>
                <c:pt idx="47">
                  <c:v>962.72499999999911</c:v>
                </c:pt>
                <c:pt idx="48">
                  <c:v>962.72499999999911</c:v>
                </c:pt>
                <c:pt idx="49">
                  <c:v>962.72499999999911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67-4DAA-84FE-3F1837D2FC71}"/>
            </c:ext>
          </c:extLst>
        </c:ser>
        <c:ser>
          <c:idx val="3"/>
          <c:order val="3"/>
          <c:tx>
            <c:strRef>
              <c:f>GRÁFICO!$AE$1</c:f>
              <c:strCache>
                <c:ptCount val="1"/>
                <c:pt idx="0">
                  <c:v>Nominal</c:v>
                </c:pt>
              </c:strCache>
            </c:strRef>
          </c:tx>
          <c:spPr>
            <a:ln w="15120">
              <a:solidFill>
                <a:srgbClr val="375623"/>
              </a:solidFill>
              <a:prstDash val="sysDot"/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s-A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GRÁFICO!Graf_N</c:f>
              <c:strCache>
                <c:ptCount val="50"/>
                <c:pt idx="0">
                  <c:v>M 1</c:v>
                </c:pt>
                <c:pt idx="1">
                  <c:v>M 2</c:v>
                </c:pt>
                <c:pt idx="2">
                  <c:v>M 3</c:v>
                </c:pt>
                <c:pt idx="3">
                  <c:v>M 4</c:v>
                </c:pt>
                <c:pt idx="4">
                  <c:v>M 5</c:v>
                </c:pt>
                <c:pt idx="5">
                  <c:v>M 6</c:v>
                </c:pt>
                <c:pt idx="6">
                  <c:v>M 7</c:v>
                </c:pt>
                <c:pt idx="7">
                  <c:v>M 8</c:v>
                </c:pt>
                <c:pt idx="8">
                  <c:v>M 9</c:v>
                </c:pt>
                <c:pt idx="9">
                  <c:v>M 10</c:v>
                </c:pt>
                <c:pt idx="10">
                  <c:v>M 11</c:v>
                </c:pt>
                <c:pt idx="11">
                  <c:v>M 12</c:v>
                </c:pt>
                <c:pt idx="12">
                  <c:v>M 13</c:v>
                </c:pt>
                <c:pt idx="13">
                  <c:v>M 14</c:v>
                </c:pt>
                <c:pt idx="14">
                  <c:v>M 15</c:v>
                </c:pt>
                <c:pt idx="15">
                  <c:v>M 16</c:v>
                </c:pt>
                <c:pt idx="16">
                  <c:v>M 17</c:v>
                </c:pt>
                <c:pt idx="17">
                  <c:v>M 18</c:v>
                </c:pt>
                <c:pt idx="18">
                  <c:v>M 19</c:v>
                </c:pt>
                <c:pt idx="19">
                  <c:v>M 20</c:v>
                </c:pt>
                <c:pt idx="20">
                  <c:v>M 21</c:v>
                </c:pt>
                <c:pt idx="21">
                  <c:v>M 22</c:v>
                </c:pt>
                <c:pt idx="22">
                  <c:v>M 23</c:v>
                </c:pt>
                <c:pt idx="23">
                  <c:v>M 24</c:v>
                </c:pt>
                <c:pt idx="24">
                  <c:v>M 25</c:v>
                </c:pt>
                <c:pt idx="25">
                  <c:v>M 26</c:v>
                </c:pt>
                <c:pt idx="26">
                  <c:v>M 27</c:v>
                </c:pt>
                <c:pt idx="27">
                  <c:v>M 28</c:v>
                </c:pt>
                <c:pt idx="28">
                  <c:v>M 29</c:v>
                </c:pt>
                <c:pt idx="29">
                  <c:v>M 30</c:v>
                </c:pt>
                <c:pt idx="30">
                  <c:v>M 31</c:v>
                </c:pt>
                <c:pt idx="31">
                  <c:v>M 32</c:v>
                </c:pt>
                <c:pt idx="32">
                  <c:v>M 33</c:v>
                </c:pt>
                <c:pt idx="33">
                  <c:v>M 34</c:v>
                </c:pt>
                <c:pt idx="34">
                  <c:v>M 35</c:v>
                </c:pt>
                <c:pt idx="35">
                  <c:v>M 36</c:v>
                </c:pt>
                <c:pt idx="36">
                  <c:v>M 37</c:v>
                </c:pt>
                <c:pt idx="37">
                  <c:v>M 38</c:v>
                </c:pt>
                <c:pt idx="38">
                  <c:v>M 39</c:v>
                </c:pt>
                <c:pt idx="39">
                  <c:v>M 40</c:v>
                </c:pt>
                <c:pt idx="40">
                  <c:v>M 41</c:v>
                </c:pt>
                <c:pt idx="41">
                  <c:v>M 42</c:v>
                </c:pt>
                <c:pt idx="42">
                  <c:v>M 43</c:v>
                </c:pt>
                <c:pt idx="43">
                  <c:v>M 44</c:v>
                </c:pt>
                <c:pt idx="44">
                  <c:v>M 45</c:v>
                </c:pt>
                <c:pt idx="45">
                  <c:v>M 46</c:v>
                </c:pt>
                <c:pt idx="46">
                  <c:v>M 47</c:v>
                </c:pt>
                <c:pt idx="47">
                  <c:v>M 48</c:v>
                </c:pt>
                <c:pt idx="48">
                  <c:v>M 49</c:v>
                </c:pt>
                <c:pt idx="49">
                  <c:v>M 50</c:v>
                </c:pt>
              </c:strCache>
            </c:strRef>
          </c:cat>
          <c:val>
            <c:numRef>
              <c:f>GRÁFICO!Graf_Nominal</c:f>
              <c:numCache>
                <c:formatCode>0</c:formatCode>
                <c:ptCount val="50"/>
                <c:pt idx="0">
                  <c:v>992.5</c:v>
                </c:pt>
                <c:pt idx="1">
                  <c:v>992.5</c:v>
                </c:pt>
                <c:pt idx="2">
                  <c:v>992.5</c:v>
                </c:pt>
                <c:pt idx="3">
                  <c:v>992.5</c:v>
                </c:pt>
                <c:pt idx="4">
                  <c:v>992.5</c:v>
                </c:pt>
                <c:pt idx="5">
                  <c:v>992.5</c:v>
                </c:pt>
                <c:pt idx="6">
                  <c:v>992.5</c:v>
                </c:pt>
                <c:pt idx="7">
                  <c:v>992.5</c:v>
                </c:pt>
                <c:pt idx="8">
                  <c:v>992.5</c:v>
                </c:pt>
                <c:pt idx="9">
                  <c:v>992.5</c:v>
                </c:pt>
                <c:pt idx="10">
                  <c:v>992.5</c:v>
                </c:pt>
                <c:pt idx="11">
                  <c:v>992.5</c:v>
                </c:pt>
                <c:pt idx="12">
                  <c:v>992.5</c:v>
                </c:pt>
                <c:pt idx="13">
                  <c:v>992.5</c:v>
                </c:pt>
                <c:pt idx="14">
                  <c:v>992.5</c:v>
                </c:pt>
                <c:pt idx="15">
                  <c:v>992.5</c:v>
                </c:pt>
                <c:pt idx="16">
                  <c:v>992.5</c:v>
                </c:pt>
                <c:pt idx="17">
                  <c:v>992.5</c:v>
                </c:pt>
                <c:pt idx="18">
                  <c:v>992.5</c:v>
                </c:pt>
                <c:pt idx="19">
                  <c:v>992.5</c:v>
                </c:pt>
                <c:pt idx="20">
                  <c:v>992.5</c:v>
                </c:pt>
                <c:pt idx="21">
                  <c:v>992.5</c:v>
                </c:pt>
                <c:pt idx="22">
                  <c:v>992.5</c:v>
                </c:pt>
                <c:pt idx="23">
                  <c:v>992.5</c:v>
                </c:pt>
                <c:pt idx="24">
                  <c:v>992.5</c:v>
                </c:pt>
                <c:pt idx="25">
                  <c:v>992.5</c:v>
                </c:pt>
                <c:pt idx="26">
                  <c:v>992.5</c:v>
                </c:pt>
                <c:pt idx="27">
                  <c:v>992.5</c:v>
                </c:pt>
                <c:pt idx="28">
                  <c:v>992.5</c:v>
                </c:pt>
                <c:pt idx="29">
                  <c:v>992.5</c:v>
                </c:pt>
                <c:pt idx="30">
                  <c:v>992.5</c:v>
                </c:pt>
                <c:pt idx="31">
                  <c:v>992.5</c:v>
                </c:pt>
                <c:pt idx="32">
                  <c:v>992.5</c:v>
                </c:pt>
                <c:pt idx="33">
                  <c:v>992.5</c:v>
                </c:pt>
                <c:pt idx="34">
                  <c:v>992.5</c:v>
                </c:pt>
                <c:pt idx="35">
                  <c:v>992.5</c:v>
                </c:pt>
                <c:pt idx="36">
                  <c:v>992.5</c:v>
                </c:pt>
                <c:pt idx="37">
                  <c:v>992.5</c:v>
                </c:pt>
                <c:pt idx="38">
                  <c:v>992.5</c:v>
                </c:pt>
                <c:pt idx="39">
                  <c:v>992.5</c:v>
                </c:pt>
                <c:pt idx="40">
                  <c:v>992.5</c:v>
                </c:pt>
                <c:pt idx="41">
                  <c:v>992.5</c:v>
                </c:pt>
                <c:pt idx="42">
                  <c:v>992.5</c:v>
                </c:pt>
                <c:pt idx="43">
                  <c:v>992.5</c:v>
                </c:pt>
                <c:pt idx="44">
                  <c:v>992.5</c:v>
                </c:pt>
                <c:pt idx="45">
                  <c:v>992.5</c:v>
                </c:pt>
                <c:pt idx="46">
                  <c:v>992.5</c:v>
                </c:pt>
                <c:pt idx="47">
                  <c:v>992.5</c:v>
                </c:pt>
                <c:pt idx="48">
                  <c:v>992.5</c:v>
                </c:pt>
                <c:pt idx="49">
                  <c:v>992.5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67-4DAA-84FE-3F1837D2F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marker val="1"/>
        <c:smooth val="0"/>
        <c:axId val="24431394"/>
        <c:axId val="29716018"/>
      </c:lineChart>
      <c:catAx>
        <c:axId val="2443139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 rot="-2700000" vert="horz"/>
          <a:lstStyle/>
          <a:p>
            <a:pPr>
              <a:defRPr sz="1000" b="0" strike="noStrike" spc="-1">
                <a:solidFill>
                  <a:srgbClr val="000000"/>
                </a:solidFill>
                <a:latin typeface="Aptos Narrow"/>
              </a:defRPr>
            </a:pPr>
            <a:endParaRPr lang="es-AR"/>
          </a:p>
        </c:txPr>
        <c:crossAx val="29716018"/>
        <c:crosses val="autoZero"/>
        <c:auto val="1"/>
        <c:lblAlgn val="ctr"/>
        <c:lblOffset val="100"/>
        <c:noMultiLvlLbl val="0"/>
      </c:catAx>
      <c:valAx>
        <c:axId val="29716018"/>
        <c:scaling>
          <c:orientation val="minMax"/>
        </c:scaling>
        <c:delete val="0"/>
        <c:axPos val="l"/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Aptos Narrow"/>
                  </a:defRPr>
                </a:pPr>
                <a:r>
                  <a:rPr lang="es-AR" sz="1000" b="1" strike="noStrike" spc="-1">
                    <a:solidFill>
                      <a:srgbClr val="000000"/>
                    </a:solidFill>
                    <a:latin typeface="Aptos Narrow"/>
                  </a:rPr>
                  <a:t>Peso (gr)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1050" b="0" strike="noStrike" spc="-1">
                <a:solidFill>
                  <a:srgbClr val="000000"/>
                </a:solidFill>
                <a:latin typeface="Aptos Narrow"/>
              </a:defRPr>
            </a:pPr>
            <a:endParaRPr lang="es-AR"/>
          </a:p>
        </c:txPr>
        <c:crossAx val="24431394"/>
        <c:crosses val="autoZero"/>
        <c:crossBetween val="between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Aptos Narrow"/>
            </a:defRPr>
          </a:pPr>
          <a:endParaRPr lang="es-AR"/>
        </a:p>
      </c:txPr>
    </c:legend>
    <c:plotVisOnly val="0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9524</xdr:rowOff>
    </xdr:from>
    <xdr:to>
      <xdr:col>14</xdr:col>
      <xdr:colOff>723901</xdr:colOff>
      <xdr:row>36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4</xdr:col>
          <xdr:colOff>9525</xdr:colOff>
          <xdr:row>1</xdr:row>
          <xdr:rowOff>314325</xdr:rowOff>
        </xdr:to>
        <xdr:sp macro="" textlink="">
          <xdr:nvSpPr>
            <xdr:cNvPr id="1001" name="btnCtrlPeso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0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IR A CTRL_PESO_VISUAL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</xdr:row>
          <xdr:rowOff>9525</xdr:rowOff>
        </xdr:from>
        <xdr:to>
          <xdr:col>7</xdr:col>
          <xdr:colOff>95250</xdr:colOff>
          <xdr:row>1</xdr:row>
          <xdr:rowOff>314325</xdr:rowOff>
        </xdr:to>
        <xdr:sp macro="" textlink="">
          <xdr:nvSpPr>
            <xdr:cNvPr id="1002" name="btnTablaPcpal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0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IR A TABLA-PCPAL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1</xdr:row>
          <xdr:rowOff>9525</xdr:rowOff>
        </xdr:from>
        <xdr:to>
          <xdr:col>10</xdr:col>
          <xdr:colOff>200025</xdr:colOff>
          <xdr:row>1</xdr:row>
          <xdr:rowOff>314325</xdr:rowOff>
        </xdr:to>
        <xdr:sp macro="" textlink="">
          <xdr:nvSpPr>
            <xdr:cNvPr id="1003" name="btnSalir" hidden="1">
              <a:extLst>
                <a:ext uri="{63B3BB69-23CF-44E3-9099-C40C66FF867C}">
                  <a14:compatExt spid="_x0000_s1003"/>
                </a:ext>
                <a:ext uri="{FF2B5EF4-FFF2-40B4-BE49-F238E27FC236}">
                  <a16:creationId xmlns:a16="http://schemas.microsoft.com/office/drawing/2014/main" id="{00000000-0008-0000-0000-0000EB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GUARDAR Y SALIR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27720</xdr:rowOff>
    </xdr:from>
    <xdr:to>
      <xdr:col>1</xdr:col>
      <xdr:colOff>1002240</xdr:colOff>
      <xdr:row>2</xdr:row>
      <xdr:rowOff>114480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0" y="84960"/>
          <a:ext cx="1002240" cy="27720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304800</xdr:colOff>
          <xdr:row>10</xdr:row>
          <xdr:rowOff>257175</xdr:rowOff>
        </xdr:from>
        <xdr:to>
          <xdr:col>11</xdr:col>
          <xdr:colOff>428625</xdr:colOff>
          <xdr:row>11</xdr:row>
          <xdr:rowOff>285750</xdr:rowOff>
        </xdr:to>
        <xdr:sp macro="" textlink="">
          <xdr:nvSpPr>
            <xdr:cNvPr id="2052" name="Button 12" descr="GUARD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GUARDAR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10</xdr:row>
          <xdr:rowOff>257175</xdr:rowOff>
        </xdr:from>
        <xdr:to>
          <xdr:col>11</xdr:col>
          <xdr:colOff>428625</xdr:colOff>
          <xdr:row>11</xdr:row>
          <xdr:rowOff>285750</xdr:rowOff>
        </xdr:to>
        <xdr:sp macro="" textlink="">
          <xdr:nvSpPr>
            <xdr:cNvPr id="2049" name="Button 12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GUARDAR</a:t>
              </a:r>
            </a:p>
          </xdr:txBody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ucas Benitez" id="{BE9448B6-A356-47A4-8BCD-B40198940ECA}" userId="S::lbenitez@bitali.com::e4865eb0-d2db-4067-8a15-5dbfa002ad42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8" dT="2026-09-01T12:27:49.61" personId="{BE9448B6-A356-47A4-8BCD-B40198940ECA}" id="{27A2D2B4-6EA1-4A20-A4F0-BE702ED8A832}">
    <text>SI NO HAY SCRAP DEJAR “  0  ”
MAX 20 un.</text>
  </threadedComment>
  <threadedComment ref="L8" dT="2026-09-01T12:27:49.61" personId="{BE9448B6-A356-47A4-8BCD-B40198940ECA}" id="{CB1C100C-9D02-436C-962A-BC75FA8A6339}">
    <text>Registrar en último control horario cantidad total x TIPO PLACA (todo OK + NO OK). 
Ej CLASICAS:
Horario:   13:00           Total:  400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AE51"/>
  <sheetViews>
    <sheetView showGridLines="0" zoomScaleNormal="100" workbookViewId="0">
      <selection activeCell="M2" sqref="M2:O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8.5703125" defaultRowHeight="15" x14ac:dyDescent="0.25"/>
  <cols>
    <col min="1" max="1" width="2.42578125" customWidth="1"/>
    <col min="2" max="21" width="11" customWidth="1"/>
    <col min="22" max="22" width="2.42578125" customWidth="1"/>
    <col min="23" max="27" width="13" hidden="1" customWidth="1"/>
    <col min="28" max="31" width="13" style="104" hidden="1" customWidth="1"/>
  </cols>
  <sheetData>
    <row r="1" spans="2:31" ht="30.75" customHeight="1" x14ac:dyDescent="0.25">
      <c r="B1" s="121" t="s">
        <v>0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Q1" s="101"/>
      <c r="R1" s="101"/>
      <c r="S1" s="101"/>
      <c r="T1" s="101"/>
      <c r="U1" s="101"/>
      <c r="AA1" t="s">
        <v>1</v>
      </c>
      <c r="AB1" s="104" t="s">
        <v>2</v>
      </c>
      <c r="AC1" s="104" t="s">
        <v>3</v>
      </c>
      <c r="AD1" s="104" t="s">
        <v>4</v>
      </c>
      <c r="AE1" s="104" t="s">
        <v>5</v>
      </c>
    </row>
    <row r="2" spans="2:31" ht="27.75" customHeight="1" x14ac:dyDescent="0.25">
      <c r="K2" s="123" t="s">
        <v>6</v>
      </c>
      <c r="L2" s="123"/>
      <c r="M2" s="122" t="s">
        <v>60</v>
      </c>
      <c r="N2" s="122"/>
      <c r="O2" s="122"/>
      <c r="W2" t="s">
        <v>8</v>
      </c>
      <c r="X2" t="str">
        <f>$M$2</f>
        <v>CERVICALES</v>
      </c>
      <c r="AA2" t="str">
        <f>IF(ROWS($AA$2:AA2)&lt;=$X$3,"M "&amp;ROWS($AA$2:AA2),NA())</f>
        <v>M 1</v>
      </c>
      <c r="AB2" s="104">
        <f>IF(ROWS($AA$2:AA2)&lt;=$X$3,IFERROR(INDEX('TABLA-PCPAL'!$G$2:$G$2000,MATCH($M$2&amp;"|"&amp;($X$14+ROWS($AA$2:AA2)),'TABLA-PCPAL'!$U$2:$U$2000,0)),NA()),NA())</f>
        <v>975</v>
      </c>
      <c r="AC2" s="104">
        <f>IF(ROWS($AA$2:AA2)&lt;=$X$3,$X$6,NA())</f>
        <v>1022.2750000000009</v>
      </c>
      <c r="AD2" s="104">
        <f>IF(ROWS($AA$2:AA2)&lt;=$X$3,$X$7,NA())</f>
        <v>962.72499999999911</v>
      </c>
      <c r="AE2" s="104">
        <f>IF(ROWS($AA$2:AA2)&lt;=$X$3,$X$8,NA())</f>
        <v>992.5</v>
      </c>
    </row>
    <row r="3" spans="2:31" ht="21.75" hidden="1" customHeight="1" x14ac:dyDescent="0.25">
      <c r="K3" s="100"/>
      <c r="L3" s="100"/>
      <c r="W3" t="s">
        <v>306</v>
      </c>
      <c r="X3">
        <f>MIN(50,$X$12)</f>
        <v>50</v>
      </c>
      <c r="AA3" t="str">
        <f>IF(ROWS($AA$2:AA3)&lt;=$X$3,"M "&amp;ROWS($AA$2:AA3),NA())</f>
        <v>M 2</v>
      </c>
      <c r="AB3" s="104">
        <f>IF(ROWS($AA$2:AA3)&lt;=$X$3,IFERROR(INDEX('TABLA-PCPAL'!$G$2:$G$2000,MATCH($M$2&amp;"|"&amp;($X$14+ROWS($AA$2:AA3)),'TABLA-PCPAL'!$U$2:$U$2000,0)),NA()),NA())</f>
        <v>975</v>
      </c>
      <c r="AC3" s="104">
        <f>IF(ROWS($AA$2:AA3)&lt;=$X$3,$X$6,NA())</f>
        <v>1022.2750000000009</v>
      </c>
      <c r="AD3" s="104">
        <f>IF(ROWS($AA$2:AA3)&lt;=$X$3,$X$7,NA())</f>
        <v>962.72499999999911</v>
      </c>
      <c r="AE3" s="104">
        <f>IF(ROWS($AA$2:AA3)&lt;=$X$3,$X$8,NA())</f>
        <v>992.5</v>
      </c>
    </row>
    <row r="4" spans="2:31" hidden="1" x14ac:dyDescent="0.25">
      <c r="W4" t="s">
        <v>9</v>
      </c>
      <c r="X4" s="1">
        <f>IF($X$3=0,0,AVERAGEIFS('TABLA-PCPAL'!$G$2:$G$2000,'TABLA-PCPAL'!$E$2:$E$2000,$M$2,'TABLA-PCPAL'!$T$2:$T$2000,"&gt;"&amp;$X$14))</f>
        <v>976.7</v>
      </c>
      <c r="AA4" t="str">
        <f>IF(ROWS($AA$2:AA4)&lt;=$X$3,"M "&amp;ROWS($AA$2:AA4),NA())</f>
        <v>M 3</v>
      </c>
      <c r="AB4" s="104">
        <f>IF(ROWS($AA$2:AA4)&lt;=$X$3,IFERROR(INDEX('TABLA-PCPAL'!$G$2:$G$2000,MATCH($M$2&amp;"|"&amp;($X$14+ROWS($AA$2:AA4)),'TABLA-PCPAL'!$U$2:$U$2000,0)),NA()),NA())</f>
        <v>995</v>
      </c>
      <c r="AC4" s="104">
        <f>IF(ROWS($AA$2:AA4)&lt;=$X$3,$X$6,NA())</f>
        <v>1022.2750000000009</v>
      </c>
      <c r="AD4" s="104">
        <f>IF(ROWS($AA$2:AA4)&lt;=$X$3,$X$7,NA())</f>
        <v>962.72499999999911</v>
      </c>
      <c r="AE4" s="104">
        <f>IF(ROWS($AA$2:AA4)&lt;=$X$3,$X$8,NA())</f>
        <v>992.5</v>
      </c>
    </row>
    <row r="5" spans="2:31" ht="21.75" customHeight="1" x14ac:dyDescent="0.25">
      <c r="B5" s="120" t="str">
        <f>$X$11</f>
        <v>Cálculo en base a los últimos 50 registros</v>
      </c>
      <c r="C5" s="120"/>
      <c r="D5" s="120"/>
      <c r="E5" s="120"/>
      <c r="F5" s="120"/>
      <c r="G5" s="120"/>
      <c r="H5" s="120"/>
      <c r="I5" s="120"/>
      <c r="J5" s="120"/>
      <c r="K5" s="120"/>
      <c r="L5" s="120"/>
      <c r="M5" s="120"/>
      <c r="N5" s="120"/>
      <c r="O5" s="120"/>
      <c r="P5" s="102"/>
      <c r="W5" t="s">
        <v>10</v>
      </c>
      <c r="X5" s="1">
        <f>IF($X$3&lt;2,0,SQRT(SUMPRODUCT(('TABLA-PCPAL'!$E$2:$E$2000=$M$2)*('TABLA-PCPAL'!$T$2:$T$2000&gt;$X$14)*('TABLA-PCPAL'!$G$2:$G$2000-$X$4)^2)/($X$3-1)))</f>
        <v>6.1949617448704339</v>
      </c>
      <c r="AA5" t="str">
        <f>IF(ROWS($AA$2:AA5)&lt;=$X$3,"M "&amp;ROWS($AA$2:AA5),NA())</f>
        <v>M 4</v>
      </c>
      <c r="AB5" s="104">
        <f>IF(ROWS($AA$2:AA5)&lt;=$X$3,IFERROR(INDEX('TABLA-PCPAL'!$G$2:$G$2000,MATCH($M$2&amp;"|"&amp;($X$14+ROWS($AA$2:AA5)),'TABLA-PCPAL'!$U$2:$U$2000,0)),NA()),NA())</f>
        <v>980</v>
      </c>
      <c r="AC5" s="104">
        <f>IF(ROWS($AA$2:AA5)&lt;=$X$3,$X$6,NA())</f>
        <v>1022.2750000000009</v>
      </c>
      <c r="AD5" s="104">
        <f>IF(ROWS($AA$2:AA5)&lt;=$X$3,$X$7,NA())</f>
        <v>962.72499999999911</v>
      </c>
      <c r="AE5" s="104">
        <f>IF(ROWS($AA$2:AA5)&lt;=$X$3,$X$8,NA())</f>
        <v>992.5</v>
      </c>
    </row>
    <row r="6" spans="2:31" x14ac:dyDescent="0.25">
      <c r="W6" t="s">
        <v>11</v>
      </c>
      <c r="X6" s="1">
        <f>IF($X$3=0,0,AVERAGEIFS('TABLA-PCPAL'!$J$2:$J$2000,'TABLA-PCPAL'!$E$2:$E$2000,$M$2,'TABLA-PCPAL'!$T$2:$T$2000,"&gt;"&amp;$X$14))</f>
        <v>1022.2750000000009</v>
      </c>
      <c r="AA6" t="str">
        <f>IF(ROWS($AA$2:AA6)&lt;=$X$3,"M "&amp;ROWS($AA$2:AA6),NA())</f>
        <v>M 5</v>
      </c>
      <c r="AB6" s="104">
        <f>IF(ROWS($AA$2:AA6)&lt;=$X$3,IFERROR(INDEX('TABLA-PCPAL'!$G$2:$G$2000,MATCH($M$2&amp;"|"&amp;($X$14+ROWS($AA$2:AA6)),'TABLA-PCPAL'!$U$2:$U$2000,0)),NA()),NA())</f>
        <v>980</v>
      </c>
      <c r="AC6" s="104">
        <f>IF(ROWS($AA$2:AA6)&lt;=$X$3,$X$6,NA())</f>
        <v>1022.2750000000009</v>
      </c>
      <c r="AD6" s="104">
        <f>IF(ROWS($AA$2:AA6)&lt;=$X$3,$X$7,NA())</f>
        <v>962.72499999999911</v>
      </c>
      <c r="AE6" s="104">
        <f>IF(ROWS($AA$2:AA6)&lt;=$X$3,$X$8,NA())</f>
        <v>992.5</v>
      </c>
    </row>
    <row r="7" spans="2:31" x14ac:dyDescent="0.25">
      <c r="W7" t="s">
        <v>12</v>
      </c>
      <c r="X7" s="1">
        <f>IF($X$3=0,0,AVERAGEIFS('TABLA-PCPAL'!$I$2:$I$2000,'TABLA-PCPAL'!$E$2:$E$2000,$M$2,'TABLA-PCPAL'!$T$2:$T$2000,"&gt;"&amp;$X$14))</f>
        <v>962.72499999999911</v>
      </c>
      <c r="AA7" t="str">
        <f>IF(ROWS($AA$2:AA7)&lt;=$X$3,"M "&amp;ROWS($AA$2:AA7),NA())</f>
        <v>M 6</v>
      </c>
      <c r="AB7" s="104">
        <f>IF(ROWS($AA$2:AA7)&lt;=$X$3,IFERROR(INDEX('TABLA-PCPAL'!$G$2:$G$2000,MATCH($M$2&amp;"|"&amp;($X$14+ROWS($AA$2:AA7)),'TABLA-PCPAL'!$U$2:$U$2000,0)),NA()),NA())</f>
        <v>980</v>
      </c>
      <c r="AC7" s="104">
        <f>IF(ROWS($AA$2:AA7)&lt;=$X$3,$X$6,NA())</f>
        <v>1022.2750000000009</v>
      </c>
      <c r="AD7" s="104">
        <f>IF(ROWS($AA$2:AA7)&lt;=$X$3,$X$7,NA())</f>
        <v>962.72499999999911</v>
      </c>
      <c r="AE7" s="104">
        <f>IF(ROWS($AA$2:AA7)&lt;=$X$3,$X$8,NA())</f>
        <v>992.5</v>
      </c>
    </row>
    <row r="8" spans="2:31" x14ac:dyDescent="0.25">
      <c r="W8" t="s">
        <v>13</v>
      </c>
      <c r="X8" s="1">
        <f>IF($X$3=0,0,AVERAGEIFS('TABLA-PCPAL'!$H$2:$H$2000,'TABLA-PCPAL'!$E$2:$E$2000,$M$2,'TABLA-PCPAL'!$T$2:$T$2000,"&gt;"&amp;$X$14))</f>
        <v>992.5</v>
      </c>
      <c r="AA8" t="str">
        <f>IF(ROWS($AA$2:AA8)&lt;=$X$3,"M "&amp;ROWS($AA$2:AA8),NA())</f>
        <v>M 7</v>
      </c>
      <c r="AB8" s="104">
        <f>IF(ROWS($AA$2:AA8)&lt;=$X$3,IFERROR(INDEX('TABLA-PCPAL'!$G$2:$G$2000,MATCH($M$2&amp;"|"&amp;($X$14+ROWS($AA$2:AA8)),'TABLA-PCPAL'!$U$2:$U$2000,0)),NA()),NA())</f>
        <v>975</v>
      </c>
      <c r="AC8" s="104">
        <f>IF(ROWS($AA$2:AA8)&lt;=$X$3,$X$6,NA())</f>
        <v>1022.2750000000009</v>
      </c>
      <c r="AD8" s="104">
        <f>IF(ROWS($AA$2:AA8)&lt;=$X$3,$X$7,NA())</f>
        <v>962.72499999999911</v>
      </c>
      <c r="AE8" s="104">
        <f>IF(ROWS($AA$2:AA8)&lt;=$X$3,$X$8,NA())</f>
        <v>992.5</v>
      </c>
    </row>
    <row r="9" spans="2:31" x14ac:dyDescent="0.25">
      <c r="W9" t="s">
        <v>14</v>
      </c>
      <c r="X9" s="103">
        <f>IF($X$5=0,0,($X$6-$X$7)/(6*$X$5))</f>
        <v>1.6021083597842094</v>
      </c>
      <c r="AA9" t="str">
        <f>IF(ROWS($AA$2:AA9)&lt;=$X$3,"M "&amp;ROWS($AA$2:AA9),NA())</f>
        <v>M 8</v>
      </c>
      <c r="AB9" s="104">
        <f>IF(ROWS($AA$2:AA9)&lt;=$X$3,IFERROR(INDEX('TABLA-PCPAL'!$G$2:$G$2000,MATCH($M$2&amp;"|"&amp;($X$14+ROWS($AA$2:AA9)),'TABLA-PCPAL'!$U$2:$U$2000,0)),NA()),NA())</f>
        <v>975</v>
      </c>
      <c r="AC9" s="104">
        <f>IF(ROWS($AA$2:AA9)&lt;=$X$3,$X$6,NA())</f>
        <v>1022.2750000000009</v>
      </c>
      <c r="AD9" s="104">
        <f>IF(ROWS($AA$2:AA9)&lt;=$X$3,$X$7,NA())</f>
        <v>962.72499999999911</v>
      </c>
      <c r="AE9" s="104">
        <f>IF(ROWS($AA$2:AA9)&lt;=$X$3,$X$8,NA())</f>
        <v>992.5</v>
      </c>
    </row>
    <row r="10" spans="2:31" x14ac:dyDescent="0.25">
      <c r="W10" t="s">
        <v>15</v>
      </c>
      <c r="X10" s="103">
        <f>IF($X$5=0,0,MIN(($X$6-$X$4)/(3*$X$5),($X$4-$X$7)/(3*$X$5)))</f>
        <v>0.75195514115819151</v>
      </c>
      <c r="AA10" t="str">
        <f>IF(ROWS($AA$2:AA10)&lt;=$X$3,"M "&amp;ROWS($AA$2:AA10),NA())</f>
        <v>M 9</v>
      </c>
      <c r="AB10" s="104">
        <f>IF(ROWS($AA$2:AA10)&lt;=$X$3,IFERROR(INDEX('TABLA-PCPAL'!$G$2:$G$2000,MATCH($M$2&amp;"|"&amp;($X$14+ROWS($AA$2:AA10)),'TABLA-PCPAL'!$U$2:$U$2000,0)),NA()),NA())</f>
        <v>975</v>
      </c>
      <c r="AC10" s="104">
        <f>IF(ROWS($AA$2:AA10)&lt;=$X$3,$X$6,NA())</f>
        <v>1022.2750000000009</v>
      </c>
      <c r="AD10" s="104">
        <f>IF(ROWS($AA$2:AA10)&lt;=$X$3,$X$7,NA())</f>
        <v>962.72499999999911</v>
      </c>
      <c r="AE10" s="104">
        <f>IF(ROWS($AA$2:AA10)&lt;=$X$3,$X$8,NA())</f>
        <v>992.5</v>
      </c>
    </row>
    <row r="11" spans="2:31" x14ac:dyDescent="0.25">
      <c r="W11" t="s">
        <v>16</v>
      </c>
      <c r="X11" t="str">
        <f>IF($X$12=0,"SIN REGISTROS no se actualizarán los datos",IF($X$12&lt;25,"Cálculo en base a "&amp;$X$3&amp;" registros (menos de 25: resultado poco representativo)",IF($X$12&lt;50,"Cálculo en base a los últimos "&amp;$X$3&amp;" registros (mínimo 25 alcanzado; óptimo 50)","Cálculo en base a los últimos 50 registros")))</f>
        <v>Cálculo en base a los últimos 50 registros</v>
      </c>
      <c r="AA11" t="str">
        <f>IF(ROWS($AA$2:AA11)&lt;=$X$3,"M "&amp;ROWS($AA$2:AA11),NA())</f>
        <v>M 10</v>
      </c>
      <c r="AB11" s="104">
        <f>IF(ROWS($AA$2:AA11)&lt;=$X$3,IFERROR(INDEX('TABLA-PCPAL'!$G$2:$G$2000,MATCH($M$2&amp;"|"&amp;($X$14+ROWS($AA$2:AA11)),'TABLA-PCPAL'!$U$2:$U$2000,0)),NA()),NA())</f>
        <v>975</v>
      </c>
      <c r="AC11" s="104">
        <f>IF(ROWS($AA$2:AA11)&lt;=$X$3,$X$6,NA())</f>
        <v>1022.2750000000009</v>
      </c>
      <c r="AD11" s="104">
        <f>IF(ROWS($AA$2:AA11)&lt;=$X$3,$X$7,NA())</f>
        <v>962.72499999999911</v>
      </c>
      <c r="AE11" s="104">
        <f>IF(ROWS($AA$2:AA11)&lt;=$X$3,$X$8,NA())</f>
        <v>992.5</v>
      </c>
    </row>
    <row r="12" spans="2:31" x14ac:dyDescent="0.25">
      <c r="W12" t="s">
        <v>307</v>
      </c>
      <c r="X12">
        <f>COUNTIF('TABLA-PCPAL'!$E$2:$E$2000,$M$2)</f>
        <v>161</v>
      </c>
      <c r="AA12" t="str">
        <f>IF(ROWS($AA$2:AA12)&lt;=$X$3,"M "&amp;ROWS($AA$2:AA12),NA())</f>
        <v>M 11</v>
      </c>
      <c r="AB12" s="104">
        <f>IF(ROWS($AA$2:AA12)&lt;=$X$3,IFERROR(INDEX('TABLA-PCPAL'!$G$2:$G$2000,MATCH($M$2&amp;"|"&amp;($X$14+ROWS($AA$2:AA12)),'TABLA-PCPAL'!$U$2:$U$2000,0)),NA()),NA())</f>
        <v>975</v>
      </c>
      <c r="AC12" s="104">
        <f>IF(ROWS($AA$2:AA12)&lt;=$X$3,$X$6,NA())</f>
        <v>1022.2750000000009</v>
      </c>
      <c r="AD12" s="104">
        <f>IF(ROWS($AA$2:AA12)&lt;=$X$3,$X$7,NA())</f>
        <v>962.72499999999911</v>
      </c>
      <c r="AE12" s="104">
        <f>IF(ROWS($AA$2:AA12)&lt;=$X$3,$X$8,NA())</f>
        <v>992.5</v>
      </c>
    </row>
    <row r="13" spans="2:31" x14ac:dyDescent="0.25">
      <c r="W13" t="s">
        <v>308</v>
      </c>
      <c r="X13" t="str">
        <f>IF($X$12=0,"Muestra: sin registros","Muestra: M 1 (más antiguo) … M "&amp;$X$3&amp;" (más reciente) — últimos "&amp;$X$3&amp;" de "&amp;$X$12&amp;" registros")</f>
        <v>Muestra: M 1 (más antiguo) … M 50 (más reciente) — últimos 50 de 161 registros</v>
      </c>
      <c r="AA13" t="str">
        <f>IF(ROWS($AA$2:AA13)&lt;=$X$3,"M "&amp;ROWS($AA$2:AA13),NA())</f>
        <v>M 12</v>
      </c>
      <c r="AB13" s="104">
        <f>IF(ROWS($AA$2:AA13)&lt;=$X$3,IFERROR(INDEX('TABLA-PCPAL'!$G$2:$G$2000,MATCH($M$2&amp;"|"&amp;($X$14+ROWS($AA$2:AA13)),'TABLA-PCPAL'!$U$2:$U$2000,0)),NA()),NA())</f>
        <v>975</v>
      </c>
      <c r="AC13" s="104">
        <f>IF(ROWS($AA$2:AA13)&lt;=$X$3,$X$6,NA())</f>
        <v>1022.2750000000009</v>
      </c>
      <c r="AD13" s="104">
        <f>IF(ROWS($AA$2:AA13)&lt;=$X$3,$X$7,NA())</f>
        <v>962.72499999999911</v>
      </c>
      <c r="AE13" s="104">
        <f>IF(ROWS($AA$2:AA13)&lt;=$X$3,$X$8,NA())</f>
        <v>992.5</v>
      </c>
    </row>
    <row r="14" spans="2:31" x14ac:dyDescent="0.25">
      <c r="W14" t="s">
        <v>309</v>
      </c>
      <c r="X14">
        <f>$X$12-$X$3</f>
        <v>111</v>
      </c>
      <c r="AA14" t="str">
        <f>IF(ROWS($AA$2:AA14)&lt;=$X$3,"M "&amp;ROWS($AA$2:AA14),NA())</f>
        <v>M 13</v>
      </c>
      <c r="AB14" s="104">
        <f>IF(ROWS($AA$2:AA14)&lt;=$X$3,IFERROR(INDEX('TABLA-PCPAL'!$G$2:$G$2000,MATCH($M$2&amp;"|"&amp;($X$14+ROWS($AA$2:AA14)),'TABLA-PCPAL'!$U$2:$U$2000,0)),NA()),NA())</f>
        <v>975</v>
      </c>
      <c r="AC14" s="104">
        <f>IF(ROWS($AA$2:AA14)&lt;=$X$3,$X$6,NA())</f>
        <v>1022.2750000000009</v>
      </c>
      <c r="AD14" s="104">
        <f>IF(ROWS($AA$2:AA14)&lt;=$X$3,$X$7,NA())</f>
        <v>962.72499999999911</v>
      </c>
      <c r="AE14" s="104">
        <f>IF(ROWS($AA$2:AA14)&lt;=$X$3,$X$8,NA())</f>
        <v>992.5</v>
      </c>
    </row>
    <row r="15" spans="2:31" x14ac:dyDescent="0.25">
      <c r="AA15" t="str">
        <f>IF(ROWS($AA$2:AA15)&lt;=$X$3,"M "&amp;ROWS($AA$2:AA15),NA())</f>
        <v>M 14</v>
      </c>
      <c r="AB15" s="104">
        <f>IF(ROWS($AA$2:AA15)&lt;=$X$3,IFERROR(INDEX('TABLA-PCPAL'!$G$2:$G$2000,MATCH($M$2&amp;"|"&amp;($X$14+ROWS($AA$2:AA15)),'TABLA-PCPAL'!$U$2:$U$2000,0)),NA()),NA())</f>
        <v>995</v>
      </c>
      <c r="AC15" s="104">
        <f>IF(ROWS($AA$2:AA15)&lt;=$X$3,$X$6,NA())</f>
        <v>1022.2750000000009</v>
      </c>
      <c r="AD15" s="104">
        <f>IF(ROWS($AA$2:AA15)&lt;=$X$3,$X$7,NA())</f>
        <v>962.72499999999911</v>
      </c>
      <c r="AE15" s="104">
        <f>IF(ROWS($AA$2:AA15)&lt;=$X$3,$X$8,NA())</f>
        <v>992.5</v>
      </c>
    </row>
    <row r="16" spans="2:31" x14ac:dyDescent="0.25">
      <c r="AA16" t="str">
        <f>IF(ROWS($AA$2:AA16)&lt;=$X$3,"M "&amp;ROWS($AA$2:AA16),NA())</f>
        <v>M 15</v>
      </c>
      <c r="AB16" s="104">
        <f>IF(ROWS($AA$2:AA16)&lt;=$X$3,IFERROR(INDEX('TABLA-PCPAL'!$G$2:$G$2000,MATCH($M$2&amp;"|"&amp;($X$14+ROWS($AA$2:AA16)),'TABLA-PCPAL'!$U$2:$U$2000,0)),NA()),NA())</f>
        <v>975</v>
      </c>
      <c r="AC16" s="104">
        <f>IF(ROWS($AA$2:AA16)&lt;=$X$3,$X$6,NA())</f>
        <v>1022.2750000000009</v>
      </c>
      <c r="AD16" s="104">
        <f>IF(ROWS($AA$2:AA16)&lt;=$X$3,$X$7,NA())</f>
        <v>962.72499999999911</v>
      </c>
      <c r="AE16" s="104">
        <f>IF(ROWS($AA$2:AA16)&lt;=$X$3,$X$8,NA())</f>
        <v>992.5</v>
      </c>
    </row>
    <row r="17" spans="27:31" x14ac:dyDescent="0.25">
      <c r="AA17" t="str">
        <f>IF(ROWS($AA$2:AA17)&lt;=$X$3,"M "&amp;ROWS($AA$2:AA17),NA())</f>
        <v>M 16</v>
      </c>
      <c r="AB17" s="104">
        <f>IF(ROWS($AA$2:AA17)&lt;=$X$3,IFERROR(INDEX('TABLA-PCPAL'!$G$2:$G$2000,MATCH($M$2&amp;"|"&amp;($X$14+ROWS($AA$2:AA17)),'TABLA-PCPAL'!$U$2:$U$2000,0)),NA()),NA())</f>
        <v>975</v>
      </c>
      <c r="AC17" s="104">
        <f>IF(ROWS($AA$2:AA17)&lt;=$X$3,$X$6,NA())</f>
        <v>1022.2750000000009</v>
      </c>
      <c r="AD17" s="104">
        <f>IF(ROWS($AA$2:AA17)&lt;=$X$3,$X$7,NA())</f>
        <v>962.72499999999911</v>
      </c>
      <c r="AE17" s="104">
        <f>IF(ROWS($AA$2:AA17)&lt;=$X$3,$X$8,NA())</f>
        <v>992.5</v>
      </c>
    </row>
    <row r="18" spans="27:31" x14ac:dyDescent="0.25">
      <c r="AA18" t="str">
        <f>IF(ROWS($AA$2:AA18)&lt;=$X$3,"M "&amp;ROWS($AA$2:AA18),NA())</f>
        <v>M 17</v>
      </c>
      <c r="AB18" s="104">
        <f>IF(ROWS($AA$2:AA18)&lt;=$X$3,IFERROR(INDEX('TABLA-PCPAL'!$G$2:$G$2000,MATCH($M$2&amp;"|"&amp;($X$14+ROWS($AA$2:AA18)),'TABLA-PCPAL'!$U$2:$U$2000,0)),NA()),NA())</f>
        <v>980</v>
      </c>
      <c r="AC18" s="104">
        <f>IF(ROWS($AA$2:AA18)&lt;=$X$3,$X$6,NA())</f>
        <v>1022.2750000000009</v>
      </c>
      <c r="AD18" s="104">
        <f>IF(ROWS($AA$2:AA18)&lt;=$X$3,$X$7,NA())</f>
        <v>962.72499999999911</v>
      </c>
      <c r="AE18" s="104">
        <f>IF(ROWS($AA$2:AA18)&lt;=$X$3,$X$8,NA())</f>
        <v>992.5</v>
      </c>
    </row>
    <row r="19" spans="27:31" x14ac:dyDescent="0.25">
      <c r="AA19" t="str">
        <f>IF(ROWS($AA$2:AA19)&lt;=$X$3,"M "&amp;ROWS($AA$2:AA19),NA())</f>
        <v>M 18</v>
      </c>
      <c r="AB19" s="104">
        <f>IF(ROWS($AA$2:AA19)&lt;=$X$3,IFERROR(INDEX('TABLA-PCPAL'!$G$2:$G$2000,MATCH($M$2&amp;"|"&amp;($X$14+ROWS($AA$2:AA19)),'TABLA-PCPAL'!$U$2:$U$2000,0)),NA()),NA())</f>
        <v>980</v>
      </c>
      <c r="AC19" s="104">
        <f>IF(ROWS($AA$2:AA19)&lt;=$X$3,$X$6,NA())</f>
        <v>1022.2750000000009</v>
      </c>
      <c r="AD19" s="104">
        <f>IF(ROWS($AA$2:AA19)&lt;=$X$3,$X$7,NA())</f>
        <v>962.72499999999911</v>
      </c>
      <c r="AE19" s="104">
        <f>IF(ROWS($AA$2:AA19)&lt;=$X$3,$X$8,NA())</f>
        <v>992.5</v>
      </c>
    </row>
    <row r="20" spans="27:31" x14ac:dyDescent="0.25">
      <c r="AA20" t="str">
        <f>IF(ROWS($AA$2:AA20)&lt;=$X$3,"M "&amp;ROWS($AA$2:AA20),NA())</f>
        <v>M 19</v>
      </c>
      <c r="AB20" s="104">
        <f>IF(ROWS($AA$2:AA20)&lt;=$X$3,IFERROR(INDEX('TABLA-PCPAL'!$G$2:$G$2000,MATCH($M$2&amp;"|"&amp;($X$14+ROWS($AA$2:AA20)),'TABLA-PCPAL'!$U$2:$U$2000,0)),NA()),NA())</f>
        <v>975</v>
      </c>
      <c r="AC20" s="104">
        <f>IF(ROWS($AA$2:AA20)&lt;=$X$3,$X$6,NA())</f>
        <v>1022.2750000000009</v>
      </c>
      <c r="AD20" s="104">
        <f>IF(ROWS($AA$2:AA20)&lt;=$X$3,$X$7,NA())</f>
        <v>962.72499999999911</v>
      </c>
      <c r="AE20" s="104">
        <f>IF(ROWS($AA$2:AA20)&lt;=$X$3,$X$8,NA())</f>
        <v>992.5</v>
      </c>
    </row>
    <row r="21" spans="27:31" x14ac:dyDescent="0.25">
      <c r="AA21" t="str">
        <f>IF(ROWS($AA$2:AA21)&lt;=$X$3,"M "&amp;ROWS($AA$2:AA21),NA())</f>
        <v>M 20</v>
      </c>
      <c r="AB21" s="104">
        <f>IF(ROWS($AA$2:AA21)&lt;=$X$3,IFERROR(INDEX('TABLA-PCPAL'!$G$2:$G$2000,MATCH($M$2&amp;"|"&amp;($X$14+ROWS($AA$2:AA21)),'TABLA-PCPAL'!$U$2:$U$2000,0)),NA()),NA())</f>
        <v>975</v>
      </c>
      <c r="AC21" s="104">
        <f>IF(ROWS($AA$2:AA21)&lt;=$X$3,$X$6,NA())</f>
        <v>1022.2750000000009</v>
      </c>
      <c r="AD21" s="104">
        <f>IF(ROWS($AA$2:AA21)&lt;=$X$3,$X$7,NA())</f>
        <v>962.72499999999911</v>
      </c>
      <c r="AE21" s="104">
        <f>IF(ROWS($AA$2:AA21)&lt;=$X$3,$X$8,NA())</f>
        <v>992.5</v>
      </c>
    </row>
    <row r="22" spans="27:31" x14ac:dyDescent="0.25">
      <c r="AA22" t="str">
        <f>IF(ROWS($AA$2:AA22)&lt;=$X$3,"M "&amp;ROWS($AA$2:AA22),NA())</f>
        <v>M 21</v>
      </c>
      <c r="AB22" s="104">
        <f>IF(ROWS($AA$2:AA22)&lt;=$X$3,IFERROR(INDEX('TABLA-PCPAL'!$G$2:$G$2000,MATCH($M$2&amp;"|"&amp;($X$14+ROWS($AA$2:AA22)),'TABLA-PCPAL'!$U$2:$U$2000,0)),NA()),NA())</f>
        <v>975</v>
      </c>
      <c r="AC22" s="104">
        <f>IF(ROWS($AA$2:AA22)&lt;=$X$3,$X$6,NA())</f>
        <v>1022.2750000000009</v>
      </c>
      <c r="AD22" s="104">
        <f>IF(ROWS($AA$2:AA22)&lt;=$X$3,$X$7,NA())</f>
        <v>962.72499999999911</v>
      </c>
      <c r="AE22" s="104">
        <f>IF(ROWS($AA$2:AA22)&lt;=$X$3,$X$8,NA())</f>
        <v>992.5</v>
      </c>
    </row>
    <row r="23" spans="27:31" x14ac:dyDescent="0.25">
      <c r="AA23" t="str">
        <f>IF(ROWS($AA$2:AA23)&lt;=$X$3,"M "&amp;ROWS($AA$2:AA23),NA())</f>
        <v>M 22</v>
      </c>
      <c r="AB23" s="104">
        <f>IF(ROWS($AA$2:AA23)&lt;=$X$3,IFERROR(INDEX('TABLA-PCPAL'!$G$2:$G$2000,MATCH($M$2&amp;"|"&amp;($X$14+ROWS($AA$2:AA23)),'TABLA-PCPAL'!$U$2:$U$2000,0)),NA()),NA())</f>
        <v>975</v>
      </c>
      <c r="AC23" s="104">
        <f>IF(ROWS($AA$2:AA23)&lt;=$X$3,$X$6,NA())</f>
        <v>1022.2750000000009</v>
      </c>
      <c r="AD23" s="104">
        <f>IF(ROWS($AA$2:AA23)&lt;=$X$3,$X$7,NA())</f>
        <v>962.72499999999911</v>
      </c>
      <c r="AE23" s="104">
        <f>IF(ROWS($AA$2:AA23)&lt;=$X$3,$X$8,NA())</f>
        <v>992.5</v>
      </c>
    </row>
    <row r="24" spans="27:31" x14ac:dyDescent="0.25">
      <c r="AA24" t="str">
        <f>IF(ROWS($AA$2:AA24)&lt;=$X$3,"M "&amp;ROWS($AA$2:AA24),NA())</f>
        <v>M 23</v>
      </c>
      <c r="AB24" s="104">
        <f>IF(ROWS($AA$2:AA24)&lt;=$X$3,IFERROR(INDEX('TABLA-PCPAL'!$G$2:$G$2000,MATCH($M$2&amp;"|"&amp;($X$14+ROWS($AA$2:AA24)),'TABLA-PCPAL'!$U$2:$U$2000,0)),NA()),NA())</f>
        <v>990</v>
      </c>
      <c r="AC24" s="104">
        <f>IF(ROWS($AA$2:AA24)&lt;=$X$3,$X$6,NA())</f>
        <v>1022.2750000000009</v>
      </c>
      <c r="AD24" s="104">
        <f>IF(ROWS($AA$2:AA24)&lt;=$X$3,$X$7,NA())</f>
        <v>962.72499999999911</v>
      </c>
      <c r="AE24" s="104">
        <f>IF(ROWS($AA$2:AA24)&lt;=$X$3,$X$8,NA())</f>
        <v>992.5</v>
      </c>
    </row>
    <row r="25" spans="27:31" x14ac:dyDescent="0.25">
      <c r="AA25" t="str">
        <f>IF(ROWS($AA$2:AA25)&lt;=$X$3,"M "&amp;ROWS($AA$2:AA25),NA())</f>
        <v>M 24</v>
      </c>
      <c r="AB25" s="104">
        <f>IF(ROWS($AA$2:AA25)&lt;=$X$3,IFERROR(INDEX('TABLA-PCPAL'!$G$2:$G$2000,MATCH($M$2&amp;"|"&amp;($X$14+ROWS($AA$2:AA25)),'TABLA-PCPAL'!$U$2:$U$2000,0)),NA()),NA())</f>
        <v>990</v>
      </c>
      <c r="AC25" s="104">
        <f>IF(ROWS($AA$2:AA25)&lt;=$X$3,$X$6,NA())</f>
        <v>1022.2750000000009</v>
      </c>
      <c r="AD25" s="104">
        <f>IF(ROWS($AA$2:AA25)&lt;=$X$3,$X$7,NA())</f>
        <v>962.72499999999911</v>
      </c>
      <c r="AE25" s="104">
        <f>IF(ROWS($AA$2:AA25)&lt;=$X$3,$X$8,NA())</f>
        <v>992.5</v>
      </c>
    </row>
    <row r="26" spans="27:31" x14ac:dyDescent="0.25">
      <c r="AA26" t="str">
        <f>IF(ROWS($AA$2:AA26)&lt;=$X$3,"M "&amp;ROWS($AA$2:AA26),NA())</f>
        <v>M 25</v>
      </c>
      <c r="AB26" s="104">
        <f>IF(ROWS($AA$2:AA26)&lt;=$X$3,IFERROR(INDEX('TABLA-PCPAL'!$G$2:$G$2000,MATCH($M$2&amp;"|"&amp;($X$14+ROWS($AA$2:AA26)),'TABLA-PCPAL'!$U$2:$U$2000,0)),NA()),NA())</f>
        <v>975</v>
      </c>
      <c r="AC26" s="104">
        <f>IF(ROWS($AA$2:AA26)&lt;=$X$3,$X$6,NA())</f>
        <v>1022.2750000000009</v>
      </c>
      <c r="AD26" s="104">
        <f>IF(ROWS($AA$2:AA26)&lt;=$X$3,$X$7,NA())</f>
        <v>962.72499999999911</v>
      </c>
      <c r="AE26" s="104">
        <f>IF(ROWS($AA$2:AA26)&lt;=$X$3,$X$8,NA())</f>
        <v>992.5</v>
      </c>
    </row>
    <row r="27" spans="27:31" x14ac:dyDescent="0.25">
      <c r="AA27" t="str">
        <f>IF(ROWS($AA$2:AA27)&lt;=$X$3,"M "&amp;ROWS($AA$2:AA27),NA())</f>
        <v>M 26</v>
      </c>
      <c r="AB27" s="104">
        <f>IF(ROWS($AA$2:AA27)&lt;=$X$3,IFERROR(INDEX('TABLA-PCPAL'!$G$2:$G$2000,MATCH($M$2&amp;"|"&amp;($X$14+ROWS($AA$2:AA27)),'TABLA-PCPAL'!$U$2:$U$2000,0)),NA()),NA())</f>
        <v>975</v>
      </c>
      <c r="AC27" s="104">
        <f>IF(ROWS($AA$2:AA27)&lt;=$X$3,$X$6,NA())</f>
        <v>1022.2750000000009</v>
      </c>
      <c r="AD27" s="104">
        <f>IF(ROWS($AA$2:AA27)&lt;=$X$3,$X$7,NA())</f>
        <v>962.72499999999911</v>
      </c>
      <c r="AE27" s="104">
        <f>IF(ROWS($AA$2:AA27)&lt;=$X$3,$X$8,NA())</f>
        <v>992.5</v>
      </c>
    </row>
    <row r="28" spans="27:31" x14ac:dyDescent="0.25">
      <c r="AA28" t="str">
        <f>IF(ROWS($AA$2:AA28)&lt;=$X$3,"M "&amp;ROWS($AA$2:AA28),NA())</f>
        <v>M 27</v>
      </c>
      <c r="AB28" s="104">
        <f>IF(ROWS($AA$2:AA28)&lt;=$X$3,IFERROR(INDEX('TABLA-PCPAL'!$G$2:$G$2000,MATCH($M$2&amp;"|"&amp;($X$14+ROWS($AA$2:AA28)),'TABLA-PCPAL'!$U$2:$U$2000,0)),NA()),NA())</f>
        <v>975</v>
      </c>
      <c r="AC28" s="104">
        <f>IF(ROWS($AA$2:AA28)&lt;=$X$3,$X$6,NA())</f>
        <v>1022.2750000000009</v>
      </c>
      <c r="AD28" s="104">
        <f>IF(ROWS($AA$2:AA28)&lt;=$X$3,$X$7,NA())</f>
        <v>962.72499999999911</v>
      </c>
      <c r="AE28" s="104">
        <f>IF(ROWS($AA$2:AA28)&lt;=$X$3,$X$8,NA())</f>
        <v>992.5</v>
      </c>
    </row>
    <row r="29" spans="27:31" x14ac:dyDescent="0.25">
      <c r="AA29" t="str">
        <f>IF(ROWS($AA$2:AA29)&lt;=$X$3,"M "&amp;ROWS($AA$2:AA29),NA())</f>
        <v>M 28</v>
      </c>
      <c r="AB29" s="104">
        <f>IF(ROWS($AA$2:AA29)&lt;=$X$3,IFERROR(INDEX('TABLA-PCPAL'!$G$2:$G$2000,MATCH($M$2&amp;"|"&amp;($X$14+ROWS($AA$2:AA29)),'TABLA-PCPAL'!$U$2:$U$2000,0)),NA()),NA())</f>
        <v>975</v>
      </c>
      <c r="AC29" s="104">
        <f>IF(ROWS($AA$2:AA29)&lt;=$X$3,$X$6,NA())</f>
        <v>1022.2750000000009</v>
      </c>
      <c r="AD29" s="104">
        <f>IF(ROWS($AA$2:AA29)&lt;=$X$3,$X$7,NA())</f>
        <v>962.72499999999911</v>
      </c>
      <c r="AE29" s="104">
        <f>IF(ROWS($AA$2:AA29)&lt;=$X$3,$X$8,NA())</f>
        <v>992.5</v>
      </c>
    </row>
    <row r="30" spans="27:31" x14ac:dyDescent="0.25">
      <c r="AA30" t="str">
        <f>IF(ROWS($AA$2:AA30)&lt;=$X$3,"M "&amp;ROWS($AA$2:AA30),NA())</f>
        <v>M 29</v>
      </c>
      <c r="AB30" s="104">
        <f>IF(ROWS($AA$2:AA30)&lt;=$X$3,IFERROR(INDEX('TABLA-PCPAL'!$G$2:$G$2000,MATCH($M$2&amp;"|"&amp;($X$14+ROWS($AA$2:AA30)),'TABLA-PCPAL'!$U$2:$U$2000,0)),NA()),NA())</f>
        <v>975</v>
      </c>
      <c r="AC30" s="104">
        <f>IF(ROWS($AA$2:AA30)&lt;=$X$3,$X$6,NA())</f>
        <v>1022.2750000000009</v>
      </c>
      <c r="AD30" s="104">
        <f>IF(ROWS($AA$2:AA30)&lt;=$X$3,$X$7,NA())</f>
        <v>962.72499999999911</v>
      </c>
      <c r="AE30" s="104">
        <f>IF(ROWS($AA$2:AA30)&lt;=$X$3,$X$8,NA())</f>
        <v>992.5</v>
      </c>
    </row>
    <row r="31" spans="27:31" x14ac:dyDescent="0.25">
      <c r="AA31" t="str">
        <f>IF(ROWS($AA$2:AA31)&lt;=$X$3,"M "&amp;ROWS($AA$2:AA31),NA())</f>
        <v>M 30</v>
      </c>
      <c r="AB31" s="104">
        <f>IF(ROWS($AA$2:AA31)&lt;=$X$3,IFERROR(INDEX('TABLA-PCPAL'!$G$2:$G$2000,MATCH($M$2&amp;"|"&amp;($X$14+ROWS($AA$2:AA31)),'TABLA-PCPAL'!$U$2:$U$2000,0)),NA()),NA())</f>
        <v>975</v>
      </c>
      <c r="AC31" s="104">
        <f>IF(ROWS($AA$2:AA31)&lt;=$X$3,$X$6,NA())</f>
        <v>1022.2750000000009</v>
      </c>
      <c r="AD31" s="104">
        <f>IF(ROWS($AA$2:AA31)&lt;=$X$3,$X$7,NA())</f>
        <v>962.72499999999911</v>
      </c>
      <c r="AE31" s="104">
        <f>IF(ROWS($AA$2:AA31)&lt;=$X$3,$X$8,NA())</f>
        <v>992.5</v>
      </c>
    </row>
    <row r="32" spans="27:31" x14ac:dyDescent="0.25">
      <c r="AA32" t="str">
        <f>IF(ROWS($AA$2:AA32)&lt;=$X$3,"M "&amp;ROWS($AA$2:AA32),NA())</f>
        <v>M 31</v>
      </c>
      <c r="AB32" s="104">
        <f>IF(ROWS($AA$2:AA32)&lt;=$X$3,IFERROR(INDEX('TABLA-PCPAL'!$G$2:$G$2000,MATCH($M$2&amp;"|"&amp;($X$14+ROWS($AA$2:AA32)),'TABLA-PCPAL'!$U$2:$U$2000,0)),NA()),NA())</f>
        <v>975</v>
      </c>
      <c r="AC32" s="104">
        <f>IF(ROWS($AA$2:AA32)&lt;=$X$3,$X$6,NA())</f>
        <v>1022.2750000000009</v>
      </c>
      <c r="AD32" s="104">
        <f>IF(ROWS($AA$2:AA32)&lt;=$X$3,$X$7,NA())</f>
        <v>962.72499999999911</v>
      </c>
      <c r="AE32" s="104">
        <f>IF(ROWS($AA$2:AA32)&lt;=$X$3,$X$8,NA())</f>
        <v>992.5</v>
      </c>
    </row>
    <row r="33" spans="2:31" x14ac:dyDescent="0.25">
      <c r="AA33" t="str">
        <f>IF(ROWS($AA$2:AA33)&lt;=$X$3,"M "&amp;ROWS($AA$2:AA33),NA())</f>
        <v>M 32</v>
      </c>
      <c r="AB33" s="104">
        <f>IF(ROWS($AA$2:AA33)&lt;=$X$3,IFERROR(INDEX('TABLA-PCPAL'!$G$2:$G$2000,MATCH($M$2&amp;"|"&amp;($X$14+ROWS($AA$2:AA33)),'TABLA-PCPAL'!$U$2:$U$2000,0)),NA()),NA())</f>
        <v>975</v>
      </c>
      <c r="AC33" s="104">
        <f>IF(ROWS($AA$2:AA33)&lt;=$X$3,$X$6,NA())</f>
        <v>1022.2750000000009</v>
      </c>
      <c r="AD33" s="104">
        <f>IF(ROWS($AA$2:AA33)&lt;=$X$3,$X$7,NA())</f>
        <v>962.72499999999911</v>
      </c>
      <c r="AE33" s="104">
        <f>IF(ROWS($AA$2:AA33)&lt;=$X$3,$X$8,NA())</f>
        <v>992.5</v>
      </c>
    </row>
    <row r="34" spans="2:31" x14ac:dyDescent="0.25">
      <c r="AA34" t="str">
        <f>IF(ROWS($AA$2:AA34)&lt;=$X$3,"M "&amp;ROWS($AA$2:AA34),NA())</f>
        <v>M 33</v>
      </c>
      <c r="AB34" s="104">
        <f>IF(ROWS($AA$2:AA34)&lt;=$X$3,IFERROR(INDEX('TABLA-PCPAL'!$G$2:$G$2000,MATCH($M$2&amp;"|"&amp;($X$14+ROWS($AA$2:AA34)),'TABLA-PCPAL'!$U$2:$U$2000,0)),NA()),NA())</f>
        <v>985</v>
      </c>
      <c r="AC34" s="104">
        <f>IF(ROWS($AA$2:AA34)&lt;=$X$3,$X$6,NA())</f>
        <v>1022.2750000000009</v>
      </c>
      <c r="AD34" s="104">
        <f>IF(ROWS($AA$2:AA34)&lt;=$X$3,$X$7,NA())</f>
        <v>962.72499999999911</v>
      </c>
      <c r="AE34" s="104">
        <f>IF(ROWS($AA$2:AA34)&lt;=$X$3,$X$8,NA())</f>
        <v>992.5</v>
      </c>
    </row>
    <row r="35" spans="2:31" x14ac:dyDescent="0.25">
      <c r="AA35" t="str">
        <f>IF(ROWS($AA$2:AA35)&lt;=$X$3,"M "&amp;ROWS($AA$2:AA35),NA())</f>
        <v>M 34</v>
      </c>
      <c r="AB35" s="104">
        <f>IF(ROWS($AA$2:AA35)&lt;=$X$3,IFERROR(INDEX('TABLA-PCPAL'!$G$2:$G$2000,MATCH($M$2&amp;"|"&amp;($X$14+ROWS($AA$2:AA35)),'TABLA-PCPAL'!$U$2:$U$2000,0)),NA()),NA())</f>
        <v>985</v>
      </c>
      <c r="AC35" s="104">
        <f>IF(ROWS($AA$2:AA35)&lt;=$X$3,$X$6,NA())</f>
        <v>1022.2750000000009</v>
      </c>
      <c r="AD35" s="104">
        <f>IF(ROWS($AA$2:AA35)&lt;=$X$3,$X$7,NA())</f>
        <v>962.72499999999911</v>
      </c>
      <c r="AE35" s="104">
        <f>IF(ROWS($AA$2:AA35)&lt;=$X$3,$X$8,NA())</f>
        <v>992.5</v>
      </c>
    </row>
    <row r="36" spans="2:31" x14ac:dyDescent="0.25">
      <c r="AA36" t="str">
        <f>IF(ROWS($AA$2:AA36)&lt;=$X$3,"M "&amp;ROWS($AA$2:AA36),NA())</f>
        <v>M 35</v>
      </c>
      <c r="AB36" s="104">
        <f>IF(ROWS($AA$2:AA36)&lt;=$X$3,IFERROR(INDEX('TABLA-PCPAL'!$G$2:$G$2000,MATCH($M$2&amp;"|"&amp;($X$14+ROWS($AA$2:AA36)),'TABLA-PCPAL'!$U$2:$U$2000,0)),NA()),NA())</f>
        <v>975</v>
      </c>
      <c r="AC36" s="104">
        <f>IF(ROWS($AA$2:AA36)&lt;=$X$3,$X$6,NA())</f>
        <v>1022.2750000000009</v>
      </c>
      <c r="AD36" s="104">
        <f>IF(ROWS($AA$2:AA36)&lt;=$X$3,$X$7,NA())</f>
        <v>962.72499999999911</v>
      </c>
      <c r="AE36" s="104">
        <f>IF(ROWS($AA$2:AA36)&lt;=$X$3,$X$8,NA())</f>
        <v>992.5</v>
      </c>
    </row>
    <row r="37" spans="2:31" x14ac:dyDescent="0.25">
      <c r="AA37" t="str">
        <f>IF(ROWS($AA$2:AA37)&lt;=$X$3,"M "&amp;ROWS($AA$2:AA37),NA())</f>
        <v>M 36</v>
      </c>
      <c r="AB37" s="104">
        <f>IF(ROWS($AA$2:AA37)&lt;=$X$3,IFERROR(INDEX('TABLA-PCPAL'!$G$2:$G$2000,MATCH($M$2&amp;"|"&amp;($X$14+ROWS($AA$2:AA37)),'TABLA-PCPAL'!$U$2:$U$2000,0)),NA()),NA())</f>
        <v>975</v>
      </c>
      <c r="AC37" s="104">
        <f>IF(ROWS($AA$2:AA37)&lt;=$X$3,$X$6,NA())</f>
        <v>1022.2750000000009</v>
      </c>
      <c r="AD37" s="104">
        <f>IF(ROWS($AA$2:AA37)&lt;=$X$3,$X$7,NA())</f>
        <v>962.72499999999911</v>
      </c>
      <c r="AE37" s="104">
        <f>IF(ROWS($AA$2:AA37)&lt;=$X$3,$X$8,NA())</f>
        <v>992.5</v>
      </c>
    </row>
    <row r="38" spans="2:31" ht="19.5" customHeight="1" x14ac:dyDescent="0.25">
      <c r="B38" s="129" t="str">
        <f>"INDICADORES DEL PROCESO (Cp / Cpk) — " &amp; $M$2</f>
        <v>INDICADORES DEL PROCESO (Cp / Cpk) — CERVICALES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AA38" t="str">
        <f>IF(ROWS($AA$2:AA38)&lt;=$X$3,"M "&amp;ROWS($AA$2:AA38),NA())</f>
        <v>M 37</v>
      </c>
      <c r="AB38" s="104">
        <f>IF(ROWS($AA$2:AA38)&lt;=$X$3,IFERROR(INDEX('TABLA-PCPAL'!$G$2:$G$2000,MATCH($M$2&amp;"|"&amp;($X$14+ROWS($AA$2:AA38)),'TABLA-PCPAL'!$U$2:$U$2000,0)),NA()),NA())</f>
        <v>975</v>
      </c>
      <c r="AC38" s="104">
        <f>IF(ROWS($AA$2:AA38)&lt;=$X$3,$X$6,NA())</f>
        <v>1022.2750000000009</v>
      </c>
      <c r="AD38" s="104">
        <f>IF(ROWS($AA$2:AA38)&lt;=$X$3,$X$7,NA())</f>
        <v>962.72499999999911</v>
      </c>
      <c r="AE38" s="104">
        <f>IF(ROWS($AA$2:AA38)&lt;=$X$3,$X$8,NA())</f>
        <v>992.5</v>
      </c>
    </row>
    <row r="39" spans="2:31" ht="27.75" customHeight="1" x14ac:dyDescent="0.25">
      <c r="B39" s="128" t="s">
        <v>14</v>
      </c>
      <c r="C39" s="128"/>
      <c r="D39" s="124" t="s">
        <v>15</v>
      </c>
      <c r="E39" s="124"/>
      <c r="F39" s="124" t="s">
        <v>17</v>
      </c>
      <c r="G39" s="124"/>
      <c r="H39" s="124" t="s">
        <v>9</v>
      </c>
      <c r="I39" s="124"/>
      <c r="J39" s="124" t="s">
        <v>3</v>
      </c>
      <c r="K39" s="124"/>
      <c r="L39" s="124" t="s">
        <v>4</v>
      </c>
      <c r="M39" s="124"/>
      <c r="N39" s="124" t="s">
        <v>18</v>
      </c>
      <c r="O39" s="124"/>
      <c r="AA39" t="str">
        <f>IF(ROWS($AA$2:AA39)&lt;=$X$3,"M "&amp;ROWS($AA$2:AA39),NA())</f>
        <v>M 38</v>
      </c>
      <c r="AB39" s="104">
        <f>IF(ROWS($AA$2:AA39)&lt;=$X$3,IFERROR(INDEX('TABLA-PCPAL'!$G$2:$G$2000,MATCH($M$2&amp;"|"&amp;($X$14+ROWS($AA$2:AA39)),'TABLA-PCPAL'!$U$2:$U$2000,0)),NA()),NA())</f>
        <v>975</v>
      </c>
      <c r="AC39" s="104">
        <f>IF(ROWS($AA$2:AA39)&lt;=$X$3,$X$6,NA())</f>
        <v>1022.2750000000009</v>
      </c>
      <c r="AD39" s="104">
        <f>IF(ROWS($AA$2:AA39)&lt;=$X$3,$X$7,NA())</f>
        <v>962.72499999999911</v>
      </c>
      <c r="AE39" s="104">
        <f>IF(ROWS($AA$2:AA39)&lt;=$X$3,$X$8,NA())</f>
        <v>992.5</v>
      </c>
    </row>
    <row r="40" spans="2:31" ht="21.75" customHeight="1" x14ac:dyDescent="0.25">
      <c r="B40" s="125">
        <f>IF($X$3=0,"-",ROUND($X$9,2))</f>
        <v>1.6</v>
      </c>
      <c r="C40" s="125"/>
      <c r="D40" s="126">
        <f>IF($X$3=0,"-",ROUND($X$10,2))</f>
        <v>0.75</v>
      </c>
      <c r="E40" s="126"/>
      <c r="F40" s="126">
        <f>IF($X$3=0,"-",ROUND($X$5,2))</f>
        <v>6.19</v>
      </c>
      <c r="G40" s="126"/>
      <c r="H40" s="127">
        <f>IF($X$3=0,"-",ROUND($X$4,0))</f>
        <v>977</v>
      </c>
      <c r="I40" s="127"/>
      <c r="J40" s="127">
        <f>IF($X$3=0,"-",ROUND($X$6,0))</f>
        <v>1022</v>
      </c>
      <c r="K40" s="127"/>
      <c r="L40" s="127">
        <f>IF($X$3=0,"-",ROUND($X$7,0))</f>
        <v>963</v>
      </c>
      <c r="M40" s="127"/>
      <c r="N40" s="127">
        <f>$X$3</f>
        <v>50</v>
      </c>
      <c r="O40" s="127"/>
      <c r="AA40" t="str">
        <f>IF(ROWS($AA$2:AA40)&lt;=$X$3,"M "&amp;ROWS($AA$2:AA40),NA())</f>
        <v>M 39</v>
      </c>
      <c r="AB40" s="104">
        <f>IF(ROWS($AA$2:AA40)&lt;=$X$3,IFERROR(INDEX('TABLA-PCPAL'!$G$2:$G$2000,MATCH($M$2&amp;"|"&amp;($X$14+ROWS($AA$2:AA40)),'TABLA-PCPAL'!$U$2:$U$2000,0)),NA()),NA())</f>
        <v>975</v>
      </c>
      <c r="AC40" s="104">
        <f>IF(ROWS($AA$2:AA40)&lt;=$X$3,$X$6,NA())</f>
        <v>1022.2750000000009</v>
      </c>
      <c r="AD40" s="104">
        <f>IF(ROWS($AA$2:AA40)&lt;=$X$3,$X$7,NA())</f>
        <v>962.72499999999911</v>
      </c>
      <c r="AE40" s="104">
        <f>IF(ROWS($AA$2:AA40)&lt;=$X$3,$X$8,NA())</f>
        <v>992.5</v>
      </c>
    </row>
    <row r="41" spans="2:31" ht="25.5" customHeight="1" x14ac:dyDescent="0.25">
      <c r="B41" s="119" t="s">
        <v>310</v>
      </c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AA41" t="str">
        <f>IF(ROWS($AA$2:AA41)&lt;=$X$3,"M "&amp;ROWS($AA$2:AA41),NA())</f>
        <v>M 40</v>
      </c>
      <c r="AB41" s="104">
        <f>IF(ROWS($AA$2:AA41)&lt;=$X$3,IFERROR(INDEX('TABLA-PCPAL'!$G$2:$G$2000,MATCH($M$2&amp;"|"&amp;($X$14+ROWS($AA$2:AA41)),'TABLA-PCPAL'!$U$2:$U$2000,0)),NA()),NA())</f>
        <v>975</v>
      </c>
      <c r="AC41" s="104">
        <f>IF(ROWS($AA$2:AA41)&lt;=$X$3,$X$6,NA())</f>
        <v>1022.2750000000009</v>
      </c>
      <c r="AD41" s="104">
        <f>IF(ROWS($AA$2:AA41)&lt;=$X$3,$X$7,NA())</f>
        <v>962.72499999999911</v>
      </c>
      <c r="AE41" s="104">
        <f>IF(ROWS($AA$2:AA41)&lt;=$X$3,$X$8,NA())</f>
        <v>992.5</v>
      </c>
    </row>
    <row r="42" spans="2:31" x14ac:dyDescent="0.25">
      <c r="AA42" t="str">
        <f>IF(ROWS($AA$2:AA42)&lt;=$X$3,"M "&amp;ROWS($AA$2:AA42),NA())</f>
        <v>M 41</v>
      </c>
      <c r="AB42" s="104">
        <f>IF(ROWS($AA$2:AA42)&lt;=$X$3,IFERROR(INDEX('TABLA-PCPAL'!$G$2:$G$2000,MATCH($M$2&amp;"|"&amp;($X$14+ROWS($AA$2:AA42)),'TABLA-PCPAL'!$U$2:$U$2000,0)),NA()),NA())</f>
        <v>975</v>
      </c>
      <c r="AC42" s="104">
        <f>IF(ROWS($AA$2:AA42)&lt;=$X$3,$X$6,NA())</f>
        <v>1022.2750000000009</v>
      </c>
      <c r="AD42" s="104">
        <f>IF(ROWS($AA$2:AA42)&lt;=$X$3,$X$7,NA())</f>
        <v>962.72499999999911</v>
      </c>
      <c r="AE42" s="104">
        <f>IF(ROWS($AA$2:AA42)&lt;=$X$3,$X$8,NA())</f>
        <v>992.5</v>
      </c>
    </row>
    <row r="43" spans="2:31" x14ac:dyDescent="0.25">
      <c r="AA43" t="str">
        <f>IF(ROWS($AA$2:AA43)&lt;=$X$3,"M "&amp;ROWS($AA$2:AA43),NA())</f>
        <v>M 42</v>
      </c>
      <c r="AB43" s="104">
        <f>IF(ROWS($AA$2:AA43)&lt;=$X$3,IFERROR(INDEX('TABLA-PCPAL'!$G$2:$G$2000,MATCH($M$2&amp;"|"&amp;($X$14+ROWS($AA$2:AA43)),'TABLA-PCPAL'!$U$2:$U$2000,0)),NA()),NA())</f>
        <v>975</v>
      </c>
      <c r="AC43" s="104">
        <f>IF(ROWS($AA$2:AA43)&lt;=$X$3,$X$6,NA())</f>
        <v>1022.2750000000009</v>
      </c>
      <c r="AD43" s="104">
        <f>IF(ROWS($AA$2:AA43)&lt;=$X$3,$X$7,NA())</f>
        <v>962.72499999999911</v>
      </c>
      <c r="AE43" s="104">
        <f>IF(ROWS($AA$2:AA43)&lt;=$X$3,$X$8,NA())</f>
        <v>992.5</v>
      </c>
    </row>
    <row r="44" spans="2:31" x14ac:dyDescent="0.25">
      <c r="AA44" t="str">
        <f>IF(ROWS($AA$2:AA44)&lt;=$X$3,"M "&amp;ROWS($AA$2:AA44),NA())</f>
        <v>M 43</v>
      </c>
      <c r="AB44" s="104">
        <f>IF(ROWS($AA$2:AA44)&lt;=$X$3,IFERROR(INDEX('TABLA-PCPAL'!$G$2:$G$2000,MATCH($M$2&amp;"|"&amp;($X$14+ROWS($AA$2:AA44)),'TABLA-PCPAL'!$U$2:$U$2000,0)),NA()),NA())</f>
        <v>975</v>
      </c>
      <c r="AC44" s="104">
        <f>IF(ROWS($AA$2:AA44)&lt;=$X$3,$X$6,NA())</f>
        <v>1022.2750000000009</v>
      </c>
      <c r="AD44" s="104">
        <f>IF(ROWS($AA$2:AA44)&lt;=$X$3,$X$7,NA())</f>
        <v>962.72499999999911</v>
      </c>
      <c r="AE44" s="104">
        <f>IF(ROWS($AA$2:AA44)&lt;=$X$3,$X$8,NA())</f>
        <v>992.5</v>
      </c>
    </row>
    <row r="45" spans="2:31" x14ac:dyDescent="0.25">
      <c r="AA45" t="str">
        <f>IF(ROWS($AA$2:AA45)&lt;=$X$3,"M "&amp;ROWS($AA$2:AA45),NA())</f>
        <v>M 44</v>
      </c>
      <c r="AB45" s="104">
        <f>IF(ROWS($AA$2:AA45)&lt;=$X$3,IFERROR(INDEX('TABLA-PCPAL'!$G$2:$G$2000,MATCH($M$2&amp;"|"&amp;($X$14+ROWS($AA$2:AA45)),'TABLA-PCPAL'!$U$2:$U$2000,0)),NA()),NA())</f>
        <v>975</v>
      </c>
      <c r="AC45" s="104">
        <f>IF(ROWS($AA$2:AA45)&lt;=$X$3,$X$6,NA())</f>
        <v>1022.2750000000009</v>
      </c>
      <c r="AD45" s="104">
        <f>IF(ROWS($AA$2:AA45)&lt;=$X$3,$X$7,NA())</f>
        <v>962.72499999999911</v>
      </c>
      <c r="AE45" s="104">
        <f>IF(ROWS($AA$2:AA45)&lt;=$X$3,$X$8,NA())</f>
        <v>992.5</v>
      </c>
    </row>
    <row r="46" spans="2:31" x14ac:dyDescent="0.25">
      <c r="AA46" t="str">
        <f>IF(ROWS($AA$2:AA46)&lt;=$X$3,"M "&amp;ROWS($AA$2:AA46),NA())</f>
        <v>M 45</v>
      </c>
      <c r="AB46" s="104">
        <f>IF(ROWS($AA$2:AA46)&lt;=$X$3,IFERROR(INDEX('TABLA-PCPAL'!$G$2:$G$2000,MATCH($M$2&amp;"|"&amp;($X$14+ROWS($AA$2:AA46)),'TABLA-PCPAL'!$U$2:$U$2000,0)),NA()),NA())</f>
        <v>975</v>
      </c>
      <c r="AC46" s="104">
        <f>IF(ROWS($AA$2:AA46)&lt;=$X$3,$X$6,NA())</f>
        <v>1022.2750000000009</v>
      </c>
      <c r="AD46" s="104">
        <f>IF(ROWS($AA$2:AA46)&lt;=$X$3,$X$7,NA())</f>
        <v>962.72499999999911</v>
      </c>
      <c r="AE46" s="104">
        <f>IF(ROWS($AA$2:AA46)&lt;=$X$3,$X$8,NA())</f>
        <v>992.5</v>
      </c>
    </row>
    <row r="47" spans="2:31" x14ac:dyDescent="0.25">
      <c r="AA47" t="str">
        <f>IF(ROWS($AA$2:AA47)&lt;=$X$3,"M "&amp;ROWS($AA$2:AA47),NA())</f>
        <v>M 46</v>
      </c>
      <c r="AB47" s="104">
        <f>IF(ROWS($AA$2:AA47)&lt;=$X$3,IFERROR(INDEX('TABLA-PCPAL'!$G$2:$G$2000,MATCH($M$2&amp;"|"&amp;($X$14+ROWS($AA$2:AA47)),'TABLA-PCPAL'!$U$2:$U$2000,0)),NA()),NA())</f>
        <v>975</v>
      </c>
      <c r="AC47" s="104">
        <f>IF(ROWS($AA$2:AA47)&lt;=$X$3,$X$6,NA())</f>
        <v>1022.2750000000009</v>
      </c>
      <c r="AD47" s="104">
        <f>IF(ROWS($AA$2:AA47)&lt;=$X$3,$X$7,NA())</f>
        <v>962.72499999999911</v>
      </c>
      <c r="AE47" s="104">
        <f>IF(ROWS($AA$2:AA47)&lt;=$X$3,$X$8,NA())</f>
        <v>992.5</v>
      </c>
    </row>
    <row r="48" spans="2:31" x14ac:dyDescent="0.25">
      <c r="AA48" t="str">
        <f>IF(ROWS($AA$2:AA48)&lt;=$X$3,"M "&amp;ROWS($AA$2:AA48),NA())</f>
        <v>M 47</v>
      </c>
      <c r="AB48" s="104">
        <f>IF(ROWS($AA$2:AA48)&lt;=$X$3,IFERROR(INDEX('TABLA-PCPAL'!$G$2:$G$2000,MATCH($M$2&amp;"|"&amp;($X$14+ROWS($AA$2:AA48)),'TABLA-PCPAL'!$U$2:$U$2000,0)),NA()),NA())</f>
        <v>960</v>
      </c>
      <c r="AC48" s="104">
        <f>IF(ROWS($AA$2:AA48)&lt;=$X$3,$X$6,NA())</f>
        <v>1022.2750000000009</v>
      </c>
      <c r="AD48" s="104">
        <f>IF(ROWS($AA$2:AA48)&lt;=$X$3,$X$7,NA())</f>
        <v>962.72499999999911</v>
      </c>
      <c r="AE48" s="104">
        <f>IF(ROWS($AA$2:AA48)&lt;=$X$3,$X$8,NA())</f>
        <v>992.5</v>
      </c>
    </row>
    <row r="49" spans="27:31" x14ac:dyDescent="0.25">
      <c r="AA49" t="str">
        <f>IF(ROWS($AA$2:AA49)&lt;=$X$3,"M "&amp;ROWS($AA$2:AA49),NA())</f>
        <v>M 48</v>
      </c>
      <c r="AB49" s="104">
        <f>IF(ROWS($AA$2:AA49)&lt;=$X$3,IFERROR(INDEX('TABLA-PCPAL'!$G$2:$G$2000,MATCH($M$2&amp;"|"&amp;($X$14+ROWS($AA$2:AA49)),'TABLA-PCPAL'!$U$2:$U$2000,0)),NA()),NA())</f>
        <v>960</v>
      </c>
      <c r="AC49" s="104">
        <f>IF(ROWS($AA$2:AA49)&lt;=$X$3,$X$6,NA())</f>
        <v>1022.2750000000009</v>
      </c>
      <c r="AD49" s="104">
        <f>IF(ROWS($AA$2:AA49)&lt;=$X$3,$X$7,NA())</f>
        <v>962.72499999999911</v>
      </c>
      <c r="AE49" s="104">
        <f>IF(ROWS($AA$2:AA49)&lt;=$X$3,$X$8,NA())</f>
        <v>992.5</v>
      </c>
    </row>
    <row r="50" spans="27:31" x14ac:dyDescent="0.25">
      <c r="AA50" t="str">
        <f>IF(ROWS($AA$2:AA50)&lt;=$X$3,"M "&amp;ROWS($AA$2:AA50),NA())</f>
        <v>M 49</v>
      </c>
      <c r="AB50" s="104">
        <f>IF(ROWS($AA$2:AA50)&lt;=$X$3,IFERROR(INDEX('TABLA-PCPAL'!$G$2:$G$2000,MATCH($M$2&amp;"|"&amp;($X$14+ROWS($AA$2:AA50)),'TABLA-PCPAL'!$U$2:$U$2000,0)),NA()),NA())</f>
        <v>975</v>
      </c>
      <c r="AC50" s="104">
        <f>IF(ROWS($AA$2:AA50)&lt;=$X$3,$X$6,NA())</f>
        <v>1022.2750000000009</v>
      </c>
      <c r="AD50" s="104">
        <f>IF(ROWS($AA$2:AA50)&lt;=$X$3,$X$7,NA())</f>
        <v>962.72499999999911</v>
      </c>
      <c r="AE50" s="104">
        <f>IF(ROWS($AA$2:AA50)&lt;=$X$3,$X$8,NA())</f>
        <v>992.5</v>
      </c>
    </row>
    <row r="51" spans="27:31" x14ac:dyDescent="0.25">
      <c r="AA51" t="str">
        <f>IF(ROWS($AA$2:AA51)&lt;=$X$3,"M "&amp;ROWS($AA$2:AA51),NA())</f>
        <v>M 50</v>
      </c>
      <c r="AB51" s="104">
        <f>IF(ROWS($AA$2:AA51)&lt;=$X$3,IFERROR(INDEX('TABLA-PCPAL'!$G$2:$G$2000,MATCH($M$2&amp;"|"&amp;($X$14+ROWS($AA$2:AA51)),'TABLA-PCPAL'!$U$2:$U$2000,0)),NA()),NA())</f>
        <v>975</v>
      </c>
      <c r="AC51" s="104">
        <f>IF(ROWS($AA$2:AA51)&lt;=$X$3,$X$6,NA())</f>
        <v>1022.2750000000009</v>
      </c>
      <c r="AD51" s="104">
        <f>IF(ROWS($AA$2:AA51)&lt;=$X$3,$X$7,NA())</f>
        <v>962.72499999999911</v>
      </c>
      <c r="AE51" s="104">
        <f>IF(ROWS($AA$2:AA51)&lt;=$X$3,$X$8,NA())</f>
        <v>992.5</v>
      </c>
    </row>
  </sheetData>
  <mergeCells count="20">
    <mergeCell ref="F39:G39"/>
    <mergeCell ref="H39:I39"/>
    <mergeCell ref="J39:K39"/>
    <mergeCell ref="B38:O38"/>
    <mergeCell ref="B41:O41"/>
    <mergeCell ref="B5:O5"/>
    <mergeCell ref="B1:O1"/>
    <mergeCell ref="M2:O2"/>
    <mergeCell ref="K2:L2"/>
    <mergeCell ref="L39:M39"/>
    <mergeCell ref="N39:O39"/>
    <mergeCell ref="B40:C40"/>
    <mergeCell ref="D40:E40"/>
    <mergeCell ref="F40:G40"/>
    <mergeCell ref="H40:I40"/>
    <mergeCell ref="J40:K40"/>
    <mergeCell ref="L40:M40"/>
    <mergeCell ref="N40:O40"/>
    <mergeCell ref="B39:C39"/>
    <mergeCell ref="D39:E39"/>
  </mergeCells>
  <conditionalFormatting sqref="B5">
    <cfRule type="expression" dxfId="3" priority="2">
      <formula>$X$3=0</formula>
    </cfRule>
    <cfRule type="expression" dxfId="2" priority="3">
      <formula>$X$3&lt;25</formula>
    </cfRule>
    <cfRule type="expression" dxfId="1" priority="4">
      <formula>AND($X$3&gt;=25,$X$3&lt;50)</formula>
    </cfRule>
    <cfRule type="expression" dxfId="0" priority="5">
      <formula>$X$3&gt;=50</formula>
    </cfRule>
  </conditionalFormatting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tnCtrlPeso">
              <controlPr defaultSize="0" autoFill="0" autoPict="0" macro="Botones.IrACtrlPesoVisual">
                <anchor mov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4</xdr:col>
                    <xdr:colOff>9525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tnTablaPcpal">
              <controlPr defaultSize="0" autoFill="0" autoPict="0" macro="Botones.IrATablaPcpal">
                <anchor moveWithCells="1">
                  <from>
                    <xdr:col>4</xdr:col>
                    <xdr:colOff>95250</xdr:colOff>
                    <xdr:row>1</xdr:row>
                    <xdr:rowOff>9525</xdr:rowOff>
                  </from>
                  <to>
                    <xdr:col>7</xdr:col>
                    <xdr:colOff>95250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tnSalir">
              <controlPr defaultSize="0" autoFill="0" autoPict="0" macro="Botones.GuardarYSalir">
                <anchor moveWithCells="1">
                  <from>
                    <xdr:col>7</xdr:col>
                    <xdr:colOff>200025</xdr:colOff>
                    <xdr:row>1</xdr:row>
                    <xdr:rowOff>9525</xdr:rowOff>
                  </from>
                  <to>
                    <xdr:col>10</xdr:col>
                    <xdr:colOff>200025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Title="Valor inválido" error="Seleccione un tipo de placa de la lista." promptTitle="Tipo de Placa" prompt="Seleccione el tipo de placa / modelo" xr:uid="{00000000-0002-0000-0000-000000000000}">
          <x14:formula1>
            <xm:f>LISTADOS!$B$3:$B$7</xm:f>
          </x14:formula1>
          <x14:formula2>
            <xm:f>0</xm:f>
          </x14:formula2>
          <xm:sqref>M2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>
    <tabColor rgb="FFC1E5F5"/>
  </sheetPr>
  <dimension ref="A1:AR25"/>
  <sheetViews>
    <sheetView showGridLines="0" tabSelected="1" topLeftCell="B1" zoomScale="115" zoomScaleNormal="115" workbookViewId="0">
      <pane xSplit="1" ySplit="8" topLeftCell="C9" activePane="bottomRight" state="frozen"/>
      <selection pane="topRight"/>
      <selection pane="bottomLeft"/>
      <selection pane="bottomRight" activeCell="C9" sqref="C9"/>
    </sheetView>
  </sheetViews>
  <sheetFormatPr baseColWidth="10" defaultColWidth="10.5703125" defaultRowHeight="15" x14ac:dyDescent="0.25"/>
  <cols>
    <col min="1" max="1" width="13" hidden="1" customWidth="1"/>
    <col min="2" max="2" width="15.140625" customWidth="1"/>
    <col min="3" max="3" width="15.7109375" style="2" customWidth="1"/>
    <col min="4" max="4" width="6.7109375" customWidth="1"/>
    <col min="5" max="5" width="14.5703125" style="2" customWidth="1"/>
    <col min="6" max="6" width="9" style="3" customWidth="1"/>
    <col min="7" max="7" width="13" customWidth="1"/>
    <col min="8" max="8" width="10.7109375" customWidth="1"/>
    <col min="9" max="9" width="12.42578125" customWidth="1"/>
    <col min="10" max="10" width="4.140625" customWidth="1"/>
    <col min="11" max="12" width="13.42578125" customWidth="1"/>
    <col min="13" max="13" width="1.5703125" style="4" customWidth="1"/>
    <col min="14" max="14" width="9" style="4" customWidth="1"/>
    <col min="15" max="20" width="9" customWidth="1"/>
    <col min="21" max="21" width="13" customWidth="1"/>
  </cols>
  <sheetData>
    <row r="1" spans="2:44" ht="4.5" customHeight="1" x14ac:dyDescent="0.25">
      <c r="B1" s="5"/>
      <c r="C1" s="6"/>
      <c r="D1" s="6"/>
      <c r="E1" s="6"/>
      <c r="F1" s="7"/>
      <c r="G1" s="6"/>
      <c r="H1" s="6"/>
      <c r="I1" s="6"/>
      <c r="J1" s="6"/>
      <c r="K1" s="6"/>
      <c r="L1" s="6"/>
      <c r="M1" s="8"/>
      <c r="N1" s="9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10"/>
    </row>
    <row r="2" spans="2:44" ht="15" customHeight="1" x14ac:dyDescent="0.25">
      <c r="B2" s="11"/>
      <c r="C2" s="114" t="s">
        <v>19</v>
      </c>
      <c r="D2" s="114"/>
      <c r="E2" s="114"/>
      <c r="F2" s="114"/>
      <c r="G2" s="114"/>
      <c r="H2" s="12" t="s">
        <v>20</v>
      </c>
      <c r="I2" s="115" t="s">
        <v>21</v>
      </c>
      <c r="J2" s="115"/>
      <c r="K2" s="116" t="s">
        <v>22</v>
      </c>
      <c r="L2" s="116"/>
      <c r="M2" s="13"/>
      <c r="N2" s="14"/>
      <c r="Q2" s="15"/>
      <c r="R2" s="15"/>
      <c r="S2" s="15"/>
      <c r="T2" s="15"/>
      <c r="U2" s="2"/>
      <c r="V2" s="2"/>
      <c r="W2" s="2"/>
      <c r="X2" s="2"/>
      <c r="Y2" s="2"/>
      <c r="Z2" s="2"/>
      <c r="AA2" s="2"/>
      <c r="AB2" s="2"/>
      <c r="AC2" s="2"/>
      <c r="AD2" s="2"/>
      <c r="AE2" s="2"/>
    </row>
    <row r="3" spans="2:44" ht="15" customHeight="1" x14ac:dyDescent="0.25">
      <c r="B3" s="16"/>
      <c r="C3" s="114"/>
      <c r="D3" s="114"/>
      <c r="E3" s="114"/>
      <c r="F3" s="114"/>
      <c r="G3" s="114"/>
      <c r="H3" s="17" t="s">
        <v>23</v>
      </c>
      <c r="I3" s="117">
        <f ca="1">+B9</f>
        <v>46289</v>
      </c>
      <c r="J3" s="117"/>
      <c r="K3" s="118" t="s">
        <v>24</v>
      </c>
      <c r="L3" s="118"/>
      <c r="M3" s="13"/>
      <c r="N3" s="18"/>
      <c r="Q3" s="15"/>
      <c r="R3" s="15"/>
      <c r="S3" s="15"/>
      <c r="T3" s="15"/>
      <c r="U3" s="2"/>
      <c r="V3" s="2"/>
      <c r="W3" s="2"/>
      <c r="X3" s="2"/>
      <c r="Y3" s="2"/>
      <c r="Z3" s="2"/>
      <c r="AA3" s="2"/>
      <c r="AB3" s="2"/>
      <c r="AC3" s="2"/>
      <c r="AD3" s="2"/>
      <c r="AE3" s="2"/>
    </row>
    <row r="4" spans="2:44" ht="15" customHeight="1" x14ac:dyDescent="0.25">
      <c r="B4" s="19" t="s">
        <v>25</v>
      </c>
      <c r="C4" s="15"/>
      <c r="D4" s="20"/>
      <c r="E4" s="20"/>
      <c r="F4" s="21"/>
      <c r="G4" s="20"/>
      <c r="H4" s="20"/>
      <c r="I4" s="20"/>
      <c r="K4" s="110" t="s">
        <v>26</v>
      </c>
      <c r="L4" s="110"/>
      <c r="M4" s="13"/>
      <c r="N4" s="18"/>
      <c r="Q4" s="15"/>
      <c r="R4" s="15"/>
      <c r="S4" s="15"/>
      <c r="T4" s="15"/>
      <c r="U4" s="2"/>
      <c r="V4" s="2"/>
      <c r="W4" s="2"/>
      <c r="X4" s="2"/>
      <c r="Y4" s="2"/>
      <c r="Z4" s="2"/>
      <c r="AA4" s="2"/>
      <c r="AB4" s="2"/>
      <c r="AC4" s="2"/>
      <c r="AD4" s="2"/>
      <c r="AE4" s="2"/>
    </row>
    <row r="5" spans="2:44" ht="5.25" customHeight="1" x14ac:dyDescent="0.25">
      <c r="B5" s="22"/>
      <c r="D5" s="2"/>
      <c r="F5" s="23"/>
      <c r="G5" s="2"/>
      <c r="H5" s="2"/>
      <c r="I5" s="2"/>
      <c r="J5" s="2"/>
      <c r="K5" s="2"/>
      <c r="L5" s="2"/>
      <c r="M5" s="13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10"/>
    </row>
    <row r="6" spans="2:44" x14ac:dyDescent="0.25">
      <c r="B6" s="24"/>
      <c r="C6" s="14" t="s">
        <v>27</v>
      </c>
      <c r="D6" s="2"/>
      <c r="F6" s="23"/>
      <c r="G6" s="25"/>
      <c r="H6" s="2" t="s">
        <v>28</v>
      </c>
      <c r="I6" s="26"/>
      <c r="J6" s="9" t="s">
        <v>29</v>
      </c>
      <c r="K6" s="18"/>
      <c r="L6" s="18"/>
      <c r="M6" s="13"/>
      <c r="N6" s="27"/>
      <c r="O6" s="2"/>
      <c r="P6" s="2"/>
      <c r="U6" s="2"/>
      <c r="V6" s="2"/>
      <c r="W6" s="2"/>
      <c r="X6" s="2"/>
      <c r="Y6" s="2"/>
      <c r="Z6" s="2"/>
      <c r="AA6" s="2"/>
      <c r="AB6" s="2"/>
      <c r="AC6" s="2"/>
      <c r="AD6" s="10"/>
      <c r="AE6" s="10"/>
    </row>
    <row r="7" spans="2:44" ht="8.25" customHeight="1" x14ac:dyDescent="0.25">
      <c r="B7" s="28"/>
      <c r="C7" s="29"/>
      <c r="D7" s="15"/>
      <c r="F7" s="30"/>
      <c r="G7" s="15"/>
      <c r="M7" s="31"/>
      <c r="AD7" s="2"/>
      <c r="AE7" s="2"/>
    </row>
    <row r="8" spans="2:44" s="32" customFormat="1" ht="30.75" customHeight="1" x14ac:dyDescent="0.25">
      <c r="B8" s="33" t="s">
        <v>30</v>
      </c>
      <c r="C8" s="34" t="s">
        <v>31</v>
      </c>
      <c r="D8" s="34" t="s">
        <v>32</v>
      </c>
      <c r="E8" s="34" t="s">
        <v>33</v>
      </c>
      <c r="F8" s="35" t="s">
        <v>34</v>
      </c>
      <c r="G8" s="34" t="s">
        <v>2</v>
      </c>
      <c r="H8" s="34" t="s">
        <v>35</v>
      </c>
      <c r="I8" s="36" t="s">
        <v>36</v>
      </c>
      <c r="K8" s="105" t="s">
        <v>37</v>
      </c>
      <c r="L8" s="105" t="s">
        <v>38</v>
      </c>
      <c r="M8" s="37"/>
      <c r="AD8" s="38"/>
      <c r="AE8" s="38"/>
    </row>
    <row r="9" spans="2:44" ht="30" customHeight="1" x14ac:dyDescent="0.25">
      <c r="B9" s="109">
        <f ca="1">+TODAY()</f>
        <v>46289</v>
      </c>
      <c r="C9" s="106" t="s">
        <v>287</v>
      </c>
      <c r="D9" s="106" t="s">
        <v>40</v>
      </c>
      <c r="E9" s="107" t="s">
        <v>7</v>
      </c>
      <c r="F9" s="108">
        <v>0.29166666666666702</v>
      </c>
      <c r="G9" s="39">
        <v>950</v>
      </c>
      <c r="H9" s="40">
        <f>IF(AH10="","",AH10*0.97)</f>
        <v>977.76</v>
      </c>
      <c r="I9" s="40">
        <f>IF(AH10="","",AH10*1.03)</f>
        <v>1038.24</v>
      </c>
      <c r="K9" s="41">
        <v>0</v>
      </c>
      <c r="L9" s="41">
        <v>0</v>
      </c>
      <c r="M9" s="31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14" t="s">
        <v>41</v>
      </c>
      <c r="AB9" s="9" t="str">
        <f t="shared" ref="AB9:AG10" si="0">+B8</f>
        <v>Fecha</v>
      </c>
      <c r="AC9" s="9" t="str">
        <f t="shared" si="0"/>
        <v>Responsable</v>
      </c>
      <c r="AD9" s="9" t="str">
        <f t="shared" si="0"/>
        <v>turno (M/T)</v>
      </c>
      <c r="AE9" s="9" t="str">
        <f t="shared" si="0"/>
        <v>Placa</v>
      </c>
      <c r="AF9" s="42" t="str">
        <f t="shared" si="0"/>
        <v>Horario</v>
      </c>
      <c r="AG9" s="9" t="str">
        <f t="shared" si="0"/>
        <v>Peso (gr)</v>
      </c>
      <c r="AH9" s="43" t="s">
        <v>42</v>
      </c>
      <c r="AI9" s="9" t="str">
        <f>+H8</f>
        <v>Peso mínimo</v>
      </c>
      <c r="AJ9" s="9" t="str">
        <f>+I8</f>
        <v>Peso máximo</v>
      </c>
      <c r="AK9" s="44" t="str">
        <f>+B17</f>
        <v>Observaciones:</v>
      </c>
      <c r="AL9" s="45" t="str">
        <f>+C12</f>
        <v>GEOMETRÍA</v>
      </c>
      <c r="AM9" s="45" t="str">
        <f>+C13</f>
        <v>AUSENCIA DE COLOR VIOLETA</v>
      </c>
      <c r="AN9" s="45" t="str">
        <f>+C14</f>
        <v>EXCESO DE DESMOLDANTE</v>
      </c>
      <c r="AO9" s="45" t="str">
        <f>+G12</f>
        <v>BURBUJAS DE AIRE</v>
      </c>
      <c r="AP9" s="45" t="str">
        <f>+G13</f>
        <v>OTRO (aclarar observaciones)</v>
      </c>
      <c r="AQ9" s="9" t="str">
        <f>+K8</f>
        <v>SCRAP (Cant. Placas)</v>
      </c>
      <c r="AR9" s="9" t="str">
        <f>+L8</f>
        <v>Total (Cant. Placas)</v>
      </c>
    </row>
    <row r="10" spans="2:44" x14ac:dyDescent="0.25">
      <c r="B10" s="22"/>
      <c r="D10" s="2"/>
      <c r="F10" s="2"/>
      <c r="G10" s="2"/>
      <c r="H10" s="2"/>
      <c r="I10" s="2"/>
      <c r="J10" s="2"/>
      <c r="K10" s="2"/>
      <c r="L10" s="2"/>
      <c r="M10" s="31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14" t="str">
        <f ca="1">+B9&amp;C9&amp;D9&amp;E9&amp;F9</f>
        <v>46289LOPEZ  L.TMCLÁSICAS0,291666666666667</v>
      </c>
      <c r="AB10" s="46">
        <f t="shared" ca="1" si="0"/>
        <v>46289</v>
      </c>
      <c r="AC10" s="9" t="str">
        <f t="shared" si="0"/>
        <v>LOPEZ  L.</v>
      </c>
      <c r="AD10" s="9" t="str">
        <f t="shared" si="0"/>
        <v>TM</v>
      </c>
      <c r="AE10" s="47" t="str">
        <f t="shared" si="0"/>
        <v>CLÁSICAS</v>
      </c>
      <c r="AF10" s="47">
        <f t="shared" si="0"/>
        <v>0.29166666666666702</v>
      </c>
      <c r="AG10" s="45">
        <f t="shared" si="0"/>
        <v>950</v>
      </c>
      <c r="AH10" s="48">
        <f>IF(E9="","",VLOOKUP(E9,'PESOS STD'!$B$5:$J$9,6,FALSE()))</f>
        <v>1008</v>
      </c>
      <c r="AI10" s="45">
        <f>+H9</f>
        <v>977.76</v>
      </c>
      <c r="AJ10" s="45">
        <f>+I9</f>
        <v>1038.24</v>
      </c>
      <c r="AK10" s="9" t="str">
        <f>IF(B18="","",B18)</f>
        <v/>
      </c>
      <c r="AL10" s="45" t="str">
        <f>+D12</f>
        <v>OK</v>
      </c>
      <c r="AM10" s="45" t="str">
        <f>+D13</f>
        <v>OK</v>
      </c>
      <c r="AN10" s="45" t="str">
        <f>+D14</f>
        <v>OK</v>
      </c>
      <c r="AO10" s="45" t="str">
        <f>+H12</f>
        <v>OK</v>
      </c>
      <c r="AP10" s="45" t="str">
        <f>+H13</f>
        <v>OK</v>
      </c>
      <c r="AQ10" s="9">
        <f>IF(K9="",0,K9)</f>
        <v>0</v>
      </c>
      <c r="AR10" s="9">
        <f>IF(L9="",0,L9)</f>
        <v>0</v>
      </c>
    </row>
    <row r="11" spans="2:44" ht="22.5" customHeight="1" x14ac:dyDescent="0.25">
      <c r="B11" s="49" t="s">
        <v>43</v>
      </c>
      <c r="F11" s="2"/>
      <c r="J11" s="2"/>
      <c r="K11" s="2"/>
      <c r="L11" s="2"/>
      <c r="M11" s="31"/>
      <c r="O11" s="2"/>
      <c r="P11" s="2"/>
      <c r="Q11" s="2"/>
      <c r="R11" s="2"/>
      <c r="S11" s="2"/>
      <c r="T11" s="2"/>
      <c r="U11" s="2"/>
      <c r="V11" s="2"/>
      <c r="W11" s="2"/>
      <c r="Z11" s="2"/>
      <c r="AA11" s="2"/>
      <c r="AB11" s="2"/>
      <c r="AC11" s="2"/>
      <c r="AD11" s="2"/>
      <c r="AE11" s="2"/>
    </row>
    <row r="12" spans="2:44" ht="22.5" customHeight="1" x14ac:dyDescent="0.25">
      <c r="B12" s="22"/>
      <c r="C12" s="50" t="s">
        <v>44</v>
      </c>
      <c r="D12" s="51" t="s">
        <v>45</v>
      </c>
      <c r="E12" s="9"/>
      <c r="F12" s="9"/>
      <c r="G12" s="50" t="s">
        <v>46</v>
      </c>
      <c r="H12" s="51" t="s">
        <v>45</v>
      </c>
      <c r="J12" s="2"/>
      <c r="K12" s="2"/>
      <c r="L12" s="2"/>
      <c r="M12" s="31"/>
      <c r="O12" s="2"/>
      <c r="P12" s="2"/>
      <c r="Q12" s="2"/>
      <c r="R12" s="2"/>
      <c r="S12" s="2"/>
      <c r="T12" s="2"/>
      <c r="U12" s="2"/>
      <c r="V12" s="2"/>
      <c r="W12" s="2"/>
      <c r="Z12" s="2"/>
      <c r="AA12" s="2"/>
      <c r="AB12" s="2"/>
      <c r="AC12" s="2"/>
      <c r="AD12" s="2"/>
      <c r="AE12" s="2"/>
    </row>
    <row r="13" spans="2:44" ht="24" customHeight="1" x14ac:dyDescent="0.25">
      <c r="B13" s="22"/>
      <c r="C13" s="50" t="s">
        <v>47</v>
      </c>
      <c r="D13" s="51" t="s">
        <v>45</v>
      </c>
      <c r="E13" s="9"/>
      <c r="F13" s="9"/>
      <c r="G13" s="50" t="s">
        <v>48</v>
      </c>
      <c r="H13" s="51" t="s">
        <v>45</v>
      </c>
      <c r="I13" s="2"/>
      <c r="M13" s="31"/>
      <c r="O13" s="2"/>
      <c r="P13" s="2"/>
      <c r="Q13" s="2"/>
      <c r="R13" s="2"/>
      <c r="S13" s="2"/>
      <c r="T13" s="2"/>
      <c r="U13" s="2"/>
      <c r="V13" s="2"/>
      <c r="W13" s="2"/>
      <c r="Z13" s="2"/>
      <c r="AA13" s="2"/>
      <c r="AB13" s="2"/>
      <c r="AC13" s="2"/>
      <c r="AD13" s="2"/>
      <c r="AE13" s="2"/>
    </row>
    <row r="14" spans="2:44" ht="24" customHeight="1" x14ac:dyDescent="0.25">
      <c r="B14" s="22"/>
      <c r="C14" s="50" t="s">
        <v>49</v>
      </c>
      <c r="D14" s="51" t="s">
        <v>45</v>
      </c>
      <c r="E14" s="9"/>
      <c r="F14" s="9"/>
      <c r="I14" s="2"/>
      <c r="M14" s="31"/>
      <c r="O14" s="2"/>
      <c r="P14" s="2"/>
      <c r="Q14" s="2"/>
      <c r="R14" s="2"/>
      <c r="S14" s="2"/>
      <c r="T14" s="2"/>
      <c r="U14" s="2"/>
      <c r="V14" s="2"/>
      <c r="W14" s="2"/>
      <c r="Z14" s="2"/>
      <c r="AA14" s="2"/>
      <c r="AB14" s="2"/>
      <c r="AC14" s="2"/>
      <c r="AD14" s="2"/>
      <c r="AE14" s="2"/>
    </row>
    <row r="15" spans="2:44" x14ac:dyDescent="0.25">
      <c r="B15" s="22"/>
      <c r="D15" s="2"/>
      <c r="F15" s="52"/>
      <c r="G15" s="2" t="s">
        <v>45</v>
      </c>
      <c r="H15" s="25"/>
      <c r="I15" s="2" t="s">
        <v>50</v>
      </c>
      <c r="M15" s="31"/>
      <c r="O15" s="2"/>
      <c r="P15" s="2"/>
      <c r="Q15" s="2"/>
      <c r="R15" s="2"/>
      <c r="S15" s="2"/>
      <c r="T15" s="2"/>
      <c r="U15" s="2"/>
      <c r="V15" s="2"/>
      <c r="W15" s="2"/>
      <c r="Z15" s="2"/>
      <c r="AA15" s="2"/>
      <c r="AB15" s="2"/>
      <c r="AC15" s="2"/>
      <c r="AD15" s="2"/>
      <c r="AE15" s="2"/>
    </row>
    <row r="16" spans="2:44" ht="15.75" customHeight="1" x14ac:dyDescent="0.25">
      <c r="B16" s="22"/>
      <c r="D16" s="2"/>
      <c r="F16" s="2"/>
      <c r="G16" s="2"/>
      <c r="H16" s="2"/>
      <c r="I16" s="2"/>
      <c r="J16" s="2"/>
      <c r="K16" s="2"/>
      <c r="L16" s="2"/>
      <c r="M16" s="31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</row>
    <row r="17" spans="2:41" ht="15.75" customHeight="1" x14ac:dyDescent="0.25">
      <c r="B17" s="53" t="s">
        <v>51</v>
      </c>
      <c r="C17" s="54"/>
      <c r="D17" s="54"/>
      <c r="E17" s="54"/>
      <c r="F17" s="55"/>
      <c r="G17" s="54"/>
      <c r="H17" s="54"/>
      <c r="I17" s="54"/>
      <c r="J17" s="54"/>
      <c r="K17" s="54"/>
      <c r="L17" s="56"/>
      <c r="M17" s="31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</row>
    <row r="18" spans="2:41" ht="74.25" customHeight="1" x14ac:dyDescent="0.25"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31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</row>
    <row r="19" spans="2:41" ht="15" customHeight="1" x14ac:dyDescent="0.25">
      <c r="B19" s="112" t="s">
        <v>52</v>
      </c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31"/>
    </row>
    <row r="20" spans="2:41" x14ac:dyDescent="0.25">
      <c r="B20" s="112"/>
      <c r="C20" s="112"/>
      <c r="D20" s="112"/>
      <c r="E20" s="112"/>
      <c r="F20" s="112"/>
      <c r="G20" s="112"/>
      <c r="H20" s="112"/>
      <c r="I20" s="112"/>
      <c r="J20" s="112"/>
      <c r="K20" s="112"/>
      <c r="L20" s="112"/>
      <c r="M20" s="31"/>
    </row>
    <row r="21" spans="2:41" ht="15" customHeight="1" x14ac:dyDescent="0.25">
      <c r="B21" s="113" t="s">
        <v>53</v>
      </c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31"/>
    </row>
    <row r="22" spans="2:4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31"/>
    </row>
    <row r="23" spans="2:41" ht="15" customHeight="1" x14ac:dyDescent="0.25">
      <c r="B23" s="113" t="s">
        <v>54</v>
      </c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31"/>
    </row>
    <row r="24" spans="2:4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31"/>
    </row>
    <row r="25" spans="2:41" ht="8.25" customHeight="1" x14ac:dyDescent="0.25">
      <c r="B25" s="57"/>
      <c r="C25" s="58"/>
      <c r="D25" s="59"/>
      <c r="E25" s="58"/>
      <c r="F25" s="60"/>
      <c r="G25" s="59"/>
      <c r="H25" s="59"/>
      <c r="I25" s="59"/>
      <c r="J25" s="59"/>
      <c r="K25" s="59"/>
      <c r="L25" s="59"/>
      <c r="M25" s="61"/>
    </row>
  </sheetData>
  <mergeCells count="10">
    <mergeCell ref="C2:G3"/>
    <mergeCell ref="I2:J2"/>
    <mergeCell ref="K2:L2"/>
    <mergeCell ref="I3:J3"/>
    <mergeCell ref="K3:L3"/>
    <mergeCell ref="K4:L4"/>
    <mergeCell ref="B18:L18"/>
    <mergeCell ref="B19:L20"/>
    <mergeCell ref="B21:L22"/>
    <mergeCell ref="B23:L24"/>
  </mergeCells>
  <conditionalFormatting sqref="G9">
    <cfRule type="cellIs" dxfId="16" priority="5" operator="between">
      <formula>$H$9</formula>
      <formula>$I$9</formula>
    </cfRule>
    <cfRule type="expression" dxfId="15" priority="6">
      <formula>G9=""</formula>
    </cfRule>
    <cfRule type="expression" dxfId="14" priority="7">
      <formula>G9&lt;($H9)</formula>
    </cfRule>
    <cfRule type="expression" dxfId="13" priority="8">
      <formula>G9&gt;($I9)</formula>
    </cfRule>
  </conditionalFormatting>
  <conditionalFormatting sqref="D12:D14 H12:H13">
    <cfRule type="expression" dxfId="12" priority="9">
      <formula>D12=""</formula>
    </cfRule>
    <cfRule type="expression" dxfId="11" priority="10">
      <formula>D12="OK"</formula>
    </cfRule>
    <cfRule type="expression" dxfId="10" priority="11">
      <formula>D12="NO OK"</formula>
    </cfRule>
  </conditionalFormatting>
  <conditionalFormatting sqref="C12:C14 G12:G13">
    <cfRule type="expression" dxfId="9" priority="12">
      <formula>C12=""</formula>
    </cfRule>
    <cfRule type="expression" dxfId="8" priority="13">
      <formula>C12&lt;(#REF!*0.97)</formula>
    </cfRule>
    <cfRule type="expression" dxfId="7" priority="14">
      <formula>C12&gt;(#REF!*1.03)</formula>
    </cfRule>
  </conditionalFormatting>
  <conditionalFormatting sqref="F9">
    <cfRule type="expression" dxfId="6" priority="1">
      <formula>F9=""</formula>
    </cfRule>
    <cfRule type="expression" dxfId="5" priority="2">
      <formula>F9="OK"</formula>
    </cfRule>
    <cfRule type="expression" dxfId="4" priority="3">
      <formula>F9="NO OK"</formula>
    </cfRule>
  </conditionalFormatting>
  <dataValidations count="4">
    <dataValidation type="whole" allowBlank="1" showInputMessage="1" showErrorMessage="1" sqref="G9" xr:uid="{00000000-0002-0000-0100-000001000000}">
      <formula1>500</formula1>
      <formula2>1500</formula2>
    </dataValidation>
    <dataValidation type="whole" allowBlank="1" showInputMessage="1" showErrorMessage="1" sqref="K9" xr:uid="{00000000-0002-0000-0100-000002000000}">
      <formula1>0</formula1>
      <formula2>20</formula2>
    </dataValidation>
    <dataValidation type="whole" allowBlank="1" showInputMessage="1" showErrorMessage="1" sqref="L9" xr:uid="{00000000-0002-0000-0100-000003000000}">
      <formula1>0</formula1>
      <formula2>500</formula2>
    </dataValidation>
    <dataValidation type="list" allowBlank="1" showInputMessage="1" showErrorMessage="1" sqref="F9" xr:uid="{1C789A8D-7D8E-4844-906B-9DBF462F7033}">
      <formula1>INDIRECT(D9)</formula1>
    </dataValidation>
  </dataValidations>
  <printOptions horizontalCentered="1" verticalCentered="1"/>
  <pageMargins left="0.23611111111111099" right="0.23611111111111099" top="0.39374999999999999" bottom="0.39374999999999999" header="0.511811023622047" footer="0.511811023622047"/>
  <pageSetup paperSize="9" scale="115" orientation="landscape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2">
              <controlPr defaultSize="0" autoPict="0" macro="Módulo1.SAVE_PESO_CV">
                <anchor moveWithCells="1" sizeWithCells="1">
                  <from>
                    <xdr:col>10</xdr:col>
                    <xdr:colOff>304800</xdr:colOff>
                    <xdr:row>10</xdr:row>
                    <xdr:rowOff>257175</xdr:rowOff>
                  </from>
                  <to>
                    <xdr:col>11</xdr:col>
                    <xdr:colOff>428625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autoFill="0" autoPict="0" macro="Módulo1.SAVE_PESO_CV" altText="GUARDAR">
                <anchor moveWithCells="1">
                  <from>
                    <xdr:col>10</xdr:col>
                    <xdr:colOff>304800</xdr:colOff>
                    <xdr:row>10</xdr:row>
                    <xdr:rowOff>257175</xdr:rowOff>
                  </from>
                  <to>
                    <xdr:col>11</xdr:col>
                    <xdr:colOff>428625</xdr:colOff>
                    <xdr:row>11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431AD3C-3487-4EDC-8E39-0B711FF91C58}">
          <x14:formula1>
            <xm:f>LISTADOS!$B$3:$B$7</xm:f>
          </x14:formula1>
          <xm:sqref>E9</xm:sqref>
        </x14:dataValidation>
        <x14:dataValidation type="list" allowBlank="1" showInputMessage="1" showErrorMessage="1" xr:uid="{A6EB50BB-7E61-4B81-803E-5583525FDB92}">
          <x14:formula1>
            <xm:f>LISTADOS!$F$3:$F$4</xm:f>
          </x14:formula1>
          <xm:sqref>D9</xm:sqref>
        </x14:dataValidation>
        <x14:dataValidation type="list" allowBlank="1" showInputMessage="1" showErrorMessage="1" xr:uid="{EF9EECE4-8B31-4C6D-BB8B-BA375AE7AC7F}">
          <x14:formula1>
            <xm:f>LISTADOS!$D$3:$D$8</xm:f>
          </x14:formula1>
          <xm:sqref>C9</xm:sqref>
        </x14:dataValidation>
        <x14:dataValidation type="list" allowBlank="1" showInputMessage="1" showErrorMessage="1" xr:uid="{DE4EBFE1-0537-46E1-A53F-9649BD1AC486}">
          <x14:formula1>
            <xm:f>LISTADOS!$H$3:$H$4</xm:f>
          </x14:formula1>
          <xm:sqref>D12:D14 H12:H13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U1218"/>
  <sheetViews>
    <sheetView zoomScaleNormal="100" workbookViewId="0">
      <pane xSplit="1" ySplit="1" topLeftCell="B402" activePane="bottomRight" state="frozen"/>
      <selection pane="topRight" activeCell="B1" sqref="B1"/>
      <selection pane="bottomLeft" activeCell="A11" sqref="A11"/>
      <selection pane="bottomRight" activeCell="E403" sqref="E403"/>
    </sheetView>
  </sheetViews>
  <sheetFormatPr baseColWidth="10" defaultColWidth="9.140625" defaultRowHeight="15" x14ac:dyDescent="0.25"/>
  <cols>
    <col min="1" max="1" width="14" style="9" customWidth="1"/>
    <col min="2" max="2" width="15.42578125" style="94" customWidth="1"/>
    <col min="3" max="5" width="15.42578125" style="9" customWidth="1"/>
    <col min="6" max="6" width="15.42578125" style="47" customWidth="1"/>
    <col min="7" max="10" width="15.42578125" style="45" customWidth="1"/>
    <col min="11" max="11" width="41" style="63" customWidth="1"/>
    <col min="12" max="16" width="15.42578125" style="9" customWidth="1"/>
    <col min="20" max="21" width="13" hidden="1" customWidth="1"/>
  </cols>
  <sheetData>
    <row r="1" spans="1:21" ht="45" customHeight="1" x14ac:dyDescent="0.25">
      <c r="A1" s="64" t="s">
        <v>41</v>
      </c>
      <c r="B1" s="93" t="s">
        <v>30</v>
      </c>
      <c r="C1" s="64" t="s">
        <v>31</v>
      </c>
      <c r="D1" s="64" t="s">
        <v>32</v>
      </c>
      <c r="E1" s="64" t="s">
        <v>33</v>
      </c>
      <c r="F1" s="65" t="s">
        <v>34</v>
      </c>
      <c r="G1" s="66" t="s">
        <v>2</v>
      </c>
      <c r="H1" s="66" t="s">
        <v>42</v>
      </c>
      <c r="I1" s="66" t="s">
        <v>35</v>
      </c>
      <c r="J1" s="66" t="s">
        <v>36</v>
      </c>
      <c r="K1" s="64" t="s">
        <v>51</v>
      </c>
      <c r="L1" s="64" t="s">
        <v>44</v>
      </c>
      <c r="M1" s="64" t="s">
        <v>47</v>
      </c>
      <c r="N1" s="64" t="s">
        <v>49</v>
      </c>
      <c r="O1" s="64" t="s">
        <v>46</v>
      </c>
      <c r="P1" s="64" t="s">
        <v>48</v>
      </c>
      <c r="Q1" s="64" t="s">
        <v>37</v>
      </c>
      <c r="R1" s="64" t="s">
        <v>38</v>
      </c>
      <c r="T1" t="s">
        <v>55</v>
      </c>
      <c r="U1" t="s">
        <v>56</v>
      </c>
    </row>
    <row r="2" spans="1:21" x14ac:dyDescent="0.25">
      <c r="A2" s="9" t="s">
        <v>57</v>
      </c>
      <c r="B2" s="94">
        <v>46239</v>
      </c>
      <c r="C2" s="9" t="s">
        <v>58</v>
      </c>
      <c r="D2" s="9" t="s">
        <v>40</v>
      </c>
      <c r="E2" s="9" t="s">
        <v>7</v>
      </c>
      <c r="F2" s="47">
        <v>0.375</v>
      </c>
      <c r="G2" s="45">
        <v>965</v>
      </c>
      <c r="H2" s="45">
        <v>1008</v>
      </c>
      <c r="I2" s="45">
        <v>977.76</v>
      </c>
      <c r="J2" s="45">
        <v>1038.24</v>
      </c>
      <c r="L2" s="9" t="s">
        <v>45</v>
      </c>
      <c r="M2" s="9" t="s">
        <v>45</v>
      </c>
      <c r="N2" s="9" t="s">
        <v>45</v>
      </c>
      <c r="O2" s="9" t="s">
        <v>45</v>
      </c>
      <c r="P2" s="9" t="s">
        <v>45</v>
      </c>
      <c r="T2">
        <f>IF($E2="","",COUNTIF($E$2:$E2,$E2))</f>
        <v>1</v>
      </c>
      <c r="U2" t="str">
        <f t="shared" ref="U2:U65" si="0">IF($E2="","",$E2&amp;"|"&amp;T2)</f>
        <v>CLÁSICAS|1</v>
      </c>
    </row>
    <row r="3" spans="1:21" x14ac:dyDescent="0.25">
      <c r="A3" s="9" t="s">
        <v>59</v>
      </c>
      <c r="B3" s="94">
        <v>46239</v>
      </c>
      <c r="C3" s="9" t="s">
        <v>58</v>
      </c>
      <c r="D3" s="9" t="s">
        <v>40</v>
      </c>
      <c r="E3" s="9" t="s">
        <v>60</v>
      </c>
      <c r="F3" s="47">
        <v>0.375</v>
      </c>
      <c r="G3" s="45">
        <v>935</v>
      </c>
      <c r="H3" s="45">
        <v>995</v>
      </c>
      <c r="I3" s="45">
        <v>965.15</v>
      </c>
      <c r="J3" s="45">
        <v>1024.8499999999999</v>
      </c>
      <c r="L3" s="9" t="s">
        <v>45</v>
      </c>
      <c r="M3" s="9" t="s">
        <v>45</v>
      </c>
      <c r="N3" s="9" t="s">
        <v>45</v>
      </c>
      <c r="O3" s="9" t="s">
        <v>45</v>
      </c>
      <c r="P3" s="9" t="s">
        <v>45</v>
      </c>
      <c r="T3">
        <f>IF($E3="","",COUNTIF($E$2:$E3,$E3))</f>
        <v>1</v>
      </c>
      <c r="U3" t="str">
        <f t="shared" si="0"/>
        <v>CERVICALES|1</v>
      </c>
    </row>
    <row r="4" spans="1:21" x14ac:dyDescent="0.25">
      <c r="A4" s="9" t="s">
        <v>61</v>
      </c>
      <c r="B4" s="94">
        <v>46239</v>
      </c>
      <c r="C4" s="9" t="s">
        <v>58</v>
      </c>
      <c r="D4" s="9" t="s">
        <v>40</v>
      </c>
      <c r="E4" s="9" t="s">
        <v>62</v>
      </c>
      <c r="F4" s="47">
        <v>0.375</v>
      </c>
      <c r="G4" s="45">
        <v>965</v>
      </c>
      <c r="H4" s="45">
        <v>985</v>
      </c>
      <c r="I4" s="45">
        <v>955.45</v>
      </c>
      <c r="J4" s="45">
        <v>1014.55</v>
      </c>
      <c r="L4" s="9" t="s">
        <v>45</v>
      </c>
      <c r="M4" s="9" t="s">
        <v>45</v>
      </c>
      <c r="N4" s="9" t="s">
        <v>45</v>
      </c>
      <c r="O4" s="9" t="s">
        <v>45</v>
      </c>
      <c r="P4" s="9" t="s">
        <v>45</v>
      </c>
      <c r="T4">
        <f>IF($E4="","",COUNTIF($E$2:$E4,$E4))</f>
        <v>1</v>
      </c>
      <c r="U4" t="str">
        <f t="shared" si="0"/>
        <v>THERMOSENSE|1</v>
      </c>
    </row>
    <row r="5" spans="1:21" x14ac:dyDescent="0.25">
      <c r="A5" s="9" t="s">
        <v>63</v>
      </c>
      <c r="B5" s="94">
        <v>46239</v>
      </c>
      <c r="C5" s="9" t="s">
        <v>58</v>
      </c>
      <c r="D5" s="9" t="s">
        <v>40</v>
      </c>
      <c r="E5" s="9" t="s">
        <v>62</v>
      </c>
      <c r="F5" s="47">
        <v>0.41666666666666702</v>
      </c>
      <c r="G5" s="45">
        <v>965</v>
      </c>
      <c r="H5" s="45">
        <v>985</v>
      </c>
      <c r="I5" s="45">
        <v>955.45</v>
      </c>
      <c r="J5" s="45">
        <v>1014.55</v>
      </c>
      <c r="L5" s="9" t="s">
        <v>45</v>
      </c>
      <c r="M5" s="9" t="s">
        <v>45</v>
      </c>
      <c r="N5" s="9" t="s">
        <v>45</v>
      </c>
      <c r="O5" s="9" t="s">
        <v>45</v>
      </c>
      <c r="P5" s="9" t="s">
        <v>45</v>
      </c>
      <c r="T5">
        <f>IF($E5="","",COUNTIF($E$2:$E5,$E5))</f>
        <v>2</v>
      </c>
      <c r="U5" t="str">
        <f t="shared" si="0"/>
        <v>THERMOSENSE|2</v>
      </c>
    </row>
    <row r="6" spans="1:21" x14ac:dyDescent="0.25">
      <c r="A6" s="9" t="s">
        <v>64</v>
      </c>
      <c r="B6" s="94">
        <v>46239</v>
      </c>
      <c r="C6" s="9" t="s">
        <v>58</v>
      </c>
      <c r="D6" s="9" t="s">
        <v>40</v>
      </c>
      <c r="E6" s="9" t="s">
        <v>7</v>
      </c>
      <c r="F6" s="47">
        <v>0.41666666666666702</v>
      </c>
      <c r="G6" s="45">
        <v>965</v>
      </c>
      <c r="H6" s="45">
        <v>1008</v>
      </c>
      <c r="I6" s="45">
        <v>977.76</v>
      </c>
      <c r="J6" s="45">
        <v>1038.24</v>
      </c>
      <c r="L6" s="9" t="s">
        <v>45</v>
      </c>
      <c r="M6" s="9" t="s">
        <v>45</v>
      </c>
      <c r="N6" s="9" t="s">
        <v>45</v>
      </c>
      <c r="O6" s="9" t="s">
        <v>45</v>
      </c>
      <c r="P6" s="9" t="s">
        <v>45</v>
      </c>
      <c r="T6">
        <f>IF($E6="","",COUNTIF($E$2:$E6,$E6))</f>
        <v>2</v>
      </c>
      <c r="U6" t="str">
        <f t="shared" si="0"/>
        <v>CLÁSICAS|2</v>
      </c>
    </row>
    <row r="7" spans="1:21" x14ac:dyDescent="0.25">
      <c r="A7" s="9" t="s">
        <v>65</v>
      </c>
      <c r="B7" s="94">
        <v>46239</v>
      </c>
      <c r="C7" s="9" t="s">
        <v>58</v>
      </c>
      <c r="D7" s="9" t="s">
        <v>40</v>
      </c>
      <c r="E7" s="9" t="s">
        <v>60</v>
      </c>
      <c r="F7" s="47">
        <v>0.41666666666666702</v>
      </c>
      <c r="G7" s="45">
        <v>935</v>
      </c>
      <c r="H7" s="45">
        <v>995</v>
      </c>
      <c r="I7" s="45">
        <v>965.15</v>
      </c>
      <c r="J7" s="45">
        <v>1024.8499999999999</v>
      </c>
      <c r="L7" s="9" t="s">
        <v>45</v>
      </c>
      <c r="M7" s="9" t="s">
        <v>45</v>
      </c>
      <c r="N7" s="9" t="s">
        <v>45</v>
      </c>
      <c r="O7" s="9" t="s">
        <v>45</v>
      </c>
      <c r="P7" s="9" t="s">
        <v>45</v>
      </c>
      <c r="T7">
        <f>IF($E7="","",COUNTIF($E$2:$E7,$E7))</f>
        <v>2</v>
      </c>
      <c r="U7" t="str">
        <f t="shared" si="0"/>
        <v>CERVICALES|2</v>
      </c>
    </row>
    <row r="8" spans="1:21" x14ac:dyDescent="0.25">
      <c r="A8" s="9" t="s">
        <v>66</v>
      </c>
      <c r="B8" s="94">
        <v>46239</v>
      </c>
      <c r="C8" s="9" t="s">
        <v>58</v>
      </c>
      <c r="D8" s="9" t="s">
        <v>40</v>
      </c>
      <c r="E8" s="9" t="s">
        <v>60</v>
      </c>
      <c r="F8" s="47">
        <v>0.45833333333333298</v>
      </c>
      <c r="G8" s="45">
        <v>935</v>
      </c>
      <c r="H8" s="45">
        <v>995</v>
      </c>
      <c r="I8" s="45">
        <v>965.15</v>
      </c>
      <c r="J8" s="45">
        <v>1024.8499999999999</v>
      </c>
      <c r="L8" s="9" t="s">
        <v>45</v>
      </c>
      <c r="M8" s="9" t="s">
        <v>45</v>
      </c>
      <c r="N8" s="9" t="s">
        <v>45</v>
      </c>
      <c r="O8" s="9" t="s">
        <v>45</v>
      </c>
      <c r="P8" s="9" t="s">
        <v>45</v>
      </c>
      <c r="T8">
        <f>IF($E8="","",COUNTIF($E$2:$E8,$E8))</f>
        <v>3</v>
      </c>
      <c r="U8" t="str">
        <f t="shared" si="0"/>
        <v>CERVICALES|3</v>
      </c>
    </row>
    <row r="9" spans="1:21" x14ac:dyDescent="0.25">
      <c r="A9" s="9" t="s">
        <v>67</v>
      </c>
      <c r="B9" s="94">
        <v>46239</v>
      </c>
      <c r="C9" s="9" t="s">
        <v>58</v>
      </c>
      <c r="D9" s="9" t="s">
        <v>40</v>
      </c>
      <c r="E9" s="9" t="s">
        <v>7</v>
      </c>
      <c r="F9" s="47">
        <v>0.45833333333333298</v>
      </c>
      <c r="G9" s="45">
        <v>965</v>
      </c>
      <c r="H9" s="45">
        <v>1008</v>
      </c>
      <c r="I9" s="45">
        <v>977.76</v>
      </c>
      <c r="J9" s="45">
        <v>1038.24</v>
      </c>
      <c r="L9" s="9" t="s">
        <v>45</v>
      </c>
      <c r="M9" s="9" t="s">
        <v>45</v>
      </c>
      <c r="N9" s="9" t="s">
        <v>45</v>
      </c>
      <c r="O9" s="9" t="s">
        <v>45</v>
      </c>
      <c r="P9" s="9" t="s">
        <v>45</v>
      </c>
      <c r="T9">
        <f>IF($E9="","",COUNTIF($E$2:$E9,$E9))</f>
        <v>3</v>
      </c>
      <c r="U9" t="str">
        <f t="shared" si="0"/>
        <v>CLÁSICAS|3</v>
      </c>
    </row>
    <row r="10" spans="1:21" x14ac:dyDescent="0.25">
      <c r="A10" s="9" t="s">
        <v>68</v>
      </c>
      <c r="B10" s="94">
        <v>46239</v>
      </c>
      <c r="C10" s="9" t="s">
        <v>58</v>
      </c>
      <c r="D10" s="9" t="s">
        <v>40</v>
      </c>
      <c r="E10" s="9" t="s">
        <v>62</v>
      </c>
      <c r="F10" s="47">
        <v>0.45833333333333298</v>
      </c>
      <c r="G10" s="45">
        <v>965</v>
      </c>
      <c r="H10" s="45">
        <v>985</v>
      </c>
      <c r="I10" s="45">
        <v>955.45</v>
      </c>
      <c r="J10" s="45">
        <v>1014.55</v>
      </c>
      <c r="L10" s="9" t="s">
        <v>45</v>
      </c>
      <c r="M10" s="9" t="s">
        <v>45</v>
      </c>
      <c r="N10" s="9" t="s">
        <v>45</v>
      </c>
      <c r="O10" s="9" t="s">
        <v>45</v>
      </c>
      <c r="P10" s="9" t="s">
        <v>45</v>
      </c>
      <c r="T10">
        <f>IF($E10="","",COUNTIF($E$2:$E10,$E10))</f>
        <v>3</v>
      </c>
      <c r="U10" t="str">
        <f t="shared" si="0"/>
        <v>THERMOSENSE|3</v>
      </c>
    </row>
    <row r="11" spans="1:21" x14ac:dyDescent="0.25">
      <c r="A11" s="9" t="s">
        <v>69</v>
      </c>
      <c r="B11" s="94">
        <v>46239</v>
      </c>
      <c r="C11" s="9" t="s">
        <v>58</v>
      </c>
      <c r="D11" s="9" t="s">
        <v>40</v>
      </c>
      <c r="E11" s="9" t="s">
        <v>62</v>
      </c>
      <c r="F11" s="47">
        <v>0.5</v>
      </c>
      <c r="G11" s="45">
        <v>965</v>
      </c>
      <c r="H11" s="45">
        <v>985</v>
      </c>
      <c r="I11" s="45">
        <v>955.45</v>
      </c>
      <c r="J11" s="45">
        <v>1014.55</v>
      </c>
      <c r="L11" s="9" t="s">
        <v>45</v>
      </c>
      <c r="M11" s="9" t="s">
        <v>45</v>
      </c>
      <c r="N11" s="9" t="s">
        <v>45</v>
      </c>
      <c r="O11" s="9" t="s">
        <v>45</v>
      </c>
      <c r="P11" s="9" t="s">
        <v>45</v>
      </c>
      <c r="T11">
        <f>IF($E11="","",COUNTIF($E$2:$E11,$E11))</f>
        <v>4</v>
      </c>
      <c r="U11" t="str">
        <f t="shared" si="0"/>
        <v>THERMOSENSE|4</v>
      </c>
    </row>
    <row r="12" spans="1:21" x14ac:dyDescent="0.25">
      <c r="A12" s="9" t="s">
        <v>70</v>
      </c>
      <c r="B12" s="94">
        <v>46239</v>
      </c>
      <c r="C12" s="9" t="s">
        <v>58</v>
      </c>
      <c r="D12" s="9" t="s">
        <v>40</v>
      </c>
      <c r="E12" s="9" t="s">
        <v>7</v>
      </c>
      <c r="F12" s="47">
        <v>0.5</v>
      </c>
      <c r="G12" s="45">
        <v>965</v>
      </c>
      <c r="H12" s="45">
        <v>1008</v>
      </c>
      <c r="I12" s="45">
        <v>977.76</v>
      </c>
      <c r="J12" s="45">
        <v>1038.24</v>
      </c>
      <c r="L12" s="9" t="s">
        <v>45</v>
      </c>
      <c r="M12" s="9" t="s">
        <v>45</v>
      </c>
      <c r="N12" s="9" t="s">
        <v>45</v>
      </c>
      <c r="O12" s="9" t="s">
        <v>45</v>
      </c>
      <c r="P12" s="9" t="s">
        <v>45</v>
      </c>
      <c r="T12">
        <f>IF($E12="","",COUNTIF($E$2:$E12,$E12))</f>
        <v>4</v>
      </c>
      <c r="U12" t="str">
        <f t="shared" si="0"/>
        <v>CLÁSICAS|4</v>
      </c>
    </row>
    <row r="13" spans="1:21" x14ac:dyDescent="0.25">
      <c r="A13" s="9" t="s">
        <v>71</v>
      </c>
      <c r="B13" s="94">
        <v>46239</v>
      </c>
      <c r="C13" s="9" t="s">
        <v>58</v>
      </c>
      <c r="D13" s="9" t="s">
        <v>40</v>
      </c>
      <c r="E13" s="9" t="s">
        <v>60</v>
      </c>
      <c r="F13" s="47">
        <v>0.5</v>
      </c>
      <c r="G13" s="45">
        <v>935</v>
      </c>
      <c r="H13" s="45">
        <v>995</v>
      </c>
      <c r="I13" s="45">
        <v>965.15</v>
      </c>
      <c r="J13" s="45">
        <v>1024.8499999999999</v>
      </c>
      <c r="L13" s="9" t="s">
        <v>45</v>
      </c>
      <c r="M13" s="9" t="s">
        <v>45</v>
      </c>
      <c r="N13" s="9" t="s">
        <v>45</v>
      </c>
      <c r="O13" s="9" t="s">
        <v>45</v>
      </c>
      <c r="P13" s="9" t="s">
        <v>45</v>
      </c>
      <c r="T13">
        <f>IF($E13="","",COUNTIF($E$2:$E13,$E13))</f>
        <v>4</v>
      </c>
      <c r="U13" t="str">
        <f t="shared" si="0"/>
        <v>CERVICALES|4</v>
      </c>
    </row>
    <row r="14" spans="1:21" x14ac:dyDescent="0.25">
      <c r="A14" s="9" t="s">
        <v>72</v>
      </c>
      <c r="B14" s="94">
        <v>46240</v>
      </c>
      <c r="C14" s="9" t="s">
        <v>58</v>
      </c>
      <c r="D14" s="9" t="s">
        <v>40</v>
      </c>
      <c r="E14" s="9" t="s">
        <v>60</v>
      </c>
      <c r="F14" s="47">
        <v>0.33333333333333298</v>
      </c>
      <c r="G14" s="45">
        <v>935</v>
      </c>
      <c r="H14" s="45">
        <v>995</v>
      </c>
      <c r="I14" s="45">
        <v>965.15</v>
      </c>
      <c r="J14" s="45">
        <v>1024.8499999999999</v>
      </c>
      <c r="L14" s="9" t="s">
        <v>45</v>
      </c>
      <c r="M14" s="9" t="s">
        <v>45</v>
      </c>
      <c r="N14" s="9" t="s">
        <v>45</v>
      </c>
      <c r="O14" s="9" t="s">
        <v>45</v>
      </c>
      <c r="P14" s="9" t="s">
        <v>45</v>
      </c>
      <c r="T14">
        <f>IF($E14="","",COUNTIF($E$2:$E14,$E14))</f>
        <v>5</v>
      </c>
      <c r="U14" t="str">
        <f t="shared" si="0"/>
        <v>CERVICALES|5</v>
      </c>
    </row>
    <row r="15" spans="1:21" x14ac:dyDescent="0.25">
      <c r="A15" s="9" t="s">
        <v>73</v>
      </c>
      <c r="B15" s="94">
        <v>46240</v>
      </c>
      <c r="C15" s="9" t="s">
        <v>58</v>
      </c>
      <c r="D15" s="9" t="s">
        <v>40</v>
      </c>
      <c r="E15" s="9" t="s">
        <v>7</v>
      </c>
      <c r="F15" s="47">
        <v>0.33333333333333298</v>
      </c>
      <c r="G15" s="45">
        <v>965</v>
      </c>
      <c r="H15" s="45">
        <v>1008</v>
      </c>
      <c r="I15" s="45">
        <v>977.76</v>
      </c>
      <c r="J15" s="45">
        <v>1038.24</v>
      </c>
      <c r="L15" s="9" t="s">
        <v>45</v>
      </c>
      <c r="M15" s="9" t="s">
        <v>45</v>
      </c>
      <c r="N15" s="9" t="s">
        <v>45</v>
      </c>
      <c r="O15" s="9" t="s">
        <v>45</v>
      </c>
      <c r="P15" s="9" t="s">
        <v>45</v>
      </c>
      <c r="T15">
        <f>IF($E15="","",COUNTIF($E$2:$E15,$E15))</f>
        <v>5</v>
      </c>
      <c r="U15" t="str">
        <f t="shared" si="0"/>
        <v>CLÁSICAS|5</v>
      </c>
    </row>
    <row r="16" spans="1:21" x14ac:dyDescent="0.25">
      <c r="A16" s="9" t="s">
        <v>74</v>
      </c>
      <c r="B16" s="94">
        <v>46240</v>
      </c>
      <c r="C16" s="9" t="s">
        <v>58</v>
      </c>
      <c r="D16" s="9" t="s">
        <v>40</v>
      </c>
      <c r="E16" s="9" t="s">
        <v>62</v>
      </c>
      <c r="F16" s="47">
        <v>0.33333333333333298</v>
      </c>
      <c r="G16" s="45">
        <v>965</v>
      </c>
      <c r="H16" s="45">
        <v>985</v>
      </c>
      <c r="I16" s="45">
        <v>955.45</v>
      </c>
      <c r="J16" s="45">
        <v>1014.55</v>
      </c>
      <c r="L16" s="9" t="s">
        <v>45</v>
      </c>
      <c r="M16" s="9" t="s">
        <v>45</v>
      </c>
      <c r="N16" s="9" t="s">
        <v>45</v>
      </c>
      <c r="O16" s="9" t="s">
        <v>45</v>
      </c>
      <c r="P16" s="9" t="s">
        <v>45</v>
      </c>
      <c r="T16">
        <f>IF($E16="","",COUNTIF($E$2:$E16,$E16))</f>
        <v>5</v>
      </c>
      <c r="U16" t="str">
        <f t="shared" si="0"/>
        <v>THERMOSENSE|5</v>
      </c>
    </row>
    <row r="17" spans="1:21" x14ac:dyDescent="0.25">
      <c r="A17" s="9" t="s">
        <v>75</v>
      </c>
      <c r="B17" s="94">
        <v>46240</v>
      </c>
      <c r="C17" s="9" t="s">
        <v>58</v>
      </c>
      <c r="D17" s="9" t="s">
        <v>40</v>
      </c>
      <c r="E17" s="9" t="s">
        <v>62</v>
      </c>
      <c r="F17" s="47">
        <v>0.375</v>
      </c>
      <c r="G17" s="45">
        <v>965</v>
      </c>
      <c r="H17" s="45">
        <v>985</v>
      </c>
      <c r="I17" s="45">
        <v>955.45</v>
      </c>
      <c r="J17" s="45">
        <v>1014.55</v>
      </c>
      <c r="L17" s="9" t="s">
        <v>45</v>
      </c>
      <c r="M17" s="9" t="s">
        <v>45</v>
      </c>
      <c r="N17" s="9" t="s">
        <v>45</v>
      </c>
      <c r="O17" s="9" t="s">
        <v>45</v>
      </c>
      <c r="P17" s="9" t="s">
        <v>45</v>
      </c>
      <c r="T17">
        <f>IF($E17="","",COUNTIF($E$2:$E17,$E17))</f>
        <v>6</v>
      </c>
      <c r="U17" t="str">
        <f t="shared" si="0"/>
        <v>THERMOSENSE|6</v>
      </c>
    </row>
    <row r="18" spans="1:21" x14ac:dyDescent="0.25">
      <c r="A18" s="9" t="s">
        <v>76</v>
      </c>
      <c r="B18" s="94">
        <v>46240</v>
      </c>
      <c r="C18" s="9" t="s">
        <v>58</v>
      </c>
      <c r="D18" s="9" t="s">
        <v>40</v>
      </c>
      <c r="E18" s="9" t="s">
        <v>7</v>
      </c>
      <c r="F18" s="47">
        <v>0.375</v>
      </c>
      <c r="G18" s="45">
        <v>965</v>
      </c>
      <c r="H18" s="45">
        <v>1008</v>
      </c>
      <c r="I18" s="45">
        <v>977.76</v>
      </c>
      <c r="J18" s="45">
        <v>1038.24</v>
      </c>
      <c r="L18" s="9" t="s">
        <v>45</v>
      </c>
      <c r="M18" s="9" t="s">
        <v>45</v>
      </c>
      <c r="N18" s="9" t="s">
        <v>45</v>
      </c>
      <c r="O18" s="9" t="s">
        <v>45</v>
      </c>
      <c r="P18" s="9" t="s">
        <v>45</v>
      </c>
      <c r="T18">
        <f>IF($E18="","",COUNTIF($E$2:$E18,$E18))</f>
        <v>6</v>
      </c>
      <c r="U18" t="str">
        <f t="shared" si="0"/>
        <v>CLÁSICAS|6</v>
      </c>
    </row>
    <row r="19" spans="1:21" x14ac:dyDescent="0.25">
      <c r="A19" s="9" t="s">
        <v>77</v>
      </c>
      <c r="B19" s="94">
        <v>46240</v>
      </c>
      <c r="C19" s="9" t="s">
        <v>58</v>
      </c>
      <c r="D19" s="9" t="s">
        <v>40</v>
      </c>
      <c r="E19" s="9" t="s">
        <v>60</v>
      </c>
      <c r="F19" s="47">
        <v>0.375</v>
      </c>
      <c r="G19" s="45">
        <v>935</v>
      </c>
      <c r="H19" s="45">
        <v>995</v>
      </c>
      <c r="I19" s="45">
        <v>965.15</v>
      </c>
      <c r="J19" s="45">
        <v>1024.8499999999999</v>
      </c>
      <c r="L19" s="9" t="s">
        <v>45</v>
      </c>
      <c r="M19" s="9" t="s">
        <v>45</v>
      </c>
      <c r="N19" s="9" t="s">
        <v>45</v>
      </c>
      <c r="O19" s="9" t="s">
        <v>45</v>
      </c>
      <c r="P19" s="9" t="s">
        <v>45</v>
      </c>
      <c r="T19">
        <f>IF($E19="","",COUNTIF($E$2:$E19,$E19))</f>
        <v>6</v>
      </c>
      <c r="U19" t="str">
        <f t="shared" si="0"/>
        <v>CERVICALES|6</v>
      </c>
    </row>
    <row r="20" spans="1:21" x14ac:dyDescent="0.25">
      <c r="A20" s="9" t="s">
        <v>78</v>
      </c>
      <c r="B20" s="94">
        <v>46240</v>
      </c>
      <c r="C20" s="9" t="s">
        <v>58</v>
      </c>
      <c r="D20" s="9" t="s">
        <v>40</v>
      </c>
      <c r="E20" s="9" t="s">
        <v>60</v>
      </c>
      <c r="F20" s="47">
        <v>0.41666666666666702</v>
      </c>
      <c r="G20" s="45">
        <v>935</v>
      </c>
      <c r="H20" s="45">
        <v>995</v>
      </c>
      <c r="I20" s="45">
        <v>965.15</v>
      </c>
      <c r="J20" s="45">
        <v>1024.8499999999999</v>
      </c>
      <c r="L20" s="9" t="s">
        <v>45</v>
      </c>
      <c r="M20" s="9" t="s">
        <v>45</v>
      </c>
      <c r="N20" s="9" t="s">
        <v>45</v>
      </c>
      <c r="O20" s="9" t="s">
        <v>45</v>
      </c>
      <c r="P20" s="9" t="s">
        <v>45</v>
      </c>
      <c r="T20">
        <f>IF($E20="","",COUNTIF($E$2:$E20,$E20))</f>
        <v>7</v>
      </c>
      <c r="U20" t="str">
        <f t="shared" si="0"/>
        <v>CERVICALES|7</v>
      </c>
    </row>
    <row r="21" spans="1:21" x14ac:dyDescent="0.25">
      <c r="A21" s="9" t="s">
        <v>79</v>
      </c>
      <c r="B21" s="94">
        <v>46240</v>
      </c>
      <c r="C21" s="9" t="s">
        <v>58</v>
      </c>
      <c r="D21" s="9" t="s">
        <v>40</v>
      </c>
      <c r="E21" s="9" t="s">
        <v>7</v>
      </c>
      <c r="F21" s="47">
        <v>0.41666666666666702</v>
      </c>
      <c r="G21" s="45">
        <v>965</v>
      </c>
      <c r="H21" s="45">
        <v>1008</v>
      </c>
      <c r="I21" s="45">
        <v>977.76</v>
      </c>
      <c r="J21" s="45">
        <v>1038.24</v>
      </c>
      <c r="L21" s="9" t="s">
        <v>45</v>
      </c>
      <c r="M21" s="9" t="s">
        <v>45</v>
      </c>
      <c r="N21" s="9" t="s">
        <v>45</v>
      </c>
      <c r="O21" s="9" t="s">
        <v>45</v>
      </c>
      <c r="P21" s="9" t="s">
        <v>45</v>
      </c>
      <c r="T21">
        <f>IF($E21="","",COUNTIF($E$2:$E21,$E21))</f>
        <v>7</v>
      </c>
      <c r="U21" t="str">
        <f t="shared" si="0"/>
        <v>CLÁSICAS|7</v>
      </c>
    </row>
    <row r="22" spans="1:21" x14ac:dyDescent="0.25">
      <c r="A22" s="9" t="s">
        <v>80</v>
      </c>
      <c r="B22" s="94">
        <v>46240</v>
      </c>
      <c r="C22" s="9" t="s">
        <v>58</v>
      </c>
      <c r="D22" s="9" t="s">
        <v>40</v>
      </c>
      <c r="E22" s="9" t="s">
        <v>62</v>
      </c>
      <c r="F22" s="47">
        <v>0.41666666666666702</v>
      </c>
      <c r="G22" s="45">
        <v>965</v>
      </c>
      <c r="H22" s="45">
        <v>985</v>
      </c>
      <c r="I22" s="45">
        <v>955.45</v>
      </c>
      <c r="J22" s="45">
        <v>1014.55</v>
      </c>
      <c r="L22" s="9" t="s">
        <v>45</v>
      </c>
      <c r="M22" s="9" t="s">
        <v>45</v>
      </c>
      <c r="N22" s="9" t="s">
        <v>45</v>
      </c>
      <c r="O22" s="9" t="s">
        <v>45</v>
      </c>
      <c r="P22" s="9" t="s">
        <v>45</v>
      </c>
      <c r="T22">
        <f>IF($E22="","",COUNTIF($E$2:$E22,$E22))</f>
        <v>7</v>
      </c>
      <c r="U22" t="str">
        <f t="shared" si="0"/>
        <v>THERMOSENSE|7</v>
      </c>
    </row>
    <row r="23" spans="1:21" x14ac:dyDescent="0.25">
      <c r="A23" s="9" t="s">
        <v>81</v>
      </c>
      <c r="B23" s="94">
        <v>46240</v>
      </c>
      <c r="C23" s="9" t="s">
        <v>58</v>
      </c>
      <c r="D23" s="9" t="s">
        <v>40</v>
      </c>
      <c r="E23" s="9" t="s">
        <v>62</v>
      </c>
      <c r="F23" s="47">
        <v>0.45833333333333298</v>
      </c>
      <c r="G23" s="45">
        <v>965</v>
      </c>
      <c r="H23" s="45">
        <v>985</v>
      </c>
      <c r="I23" s="45">
        <v>955.45</v>
      </c>
      <c r="J23" s="45">
        <v>1014.55</v>
      </c>
      <c r="L23" s="9" t="s">
        <v>45</v>
      </c>
      <c r="M23" s="9" t="s">
        <v>45</v>
      </c>
      <c r="N23" s="9" t="s">
        <v>45</v>
      </c>
      <c r="O23" s="9" t="s">
        <v>45</v>
      </c>
      <c r="P23" s="9" t="s">
        <v>45</v>
      </c>
      <c r="T23">
        <f>IF($E23="","",COUNTIF($E$2:$E23,$E23))</f>
        <v>8</v>
      </c>
      <c r="U23" t="str">
        <f t="shared" si="0"/>
        <v>THERMOSENSE|8</v>
      </c>
    </row>
    <row r="24" spans="1:21" x14ac:dyDescent="0.25">
      <c r="A24" s="9" t="s">
        <v>82</v>
      </c>
      <c r="B24" s="94">
        <v>46240</v>
      </c>
      <c r="C24" s="9" t="s">
        <v>58</v>
      </c>
      <c r="D24" s="9" t="s">
        <v>40</v>
      </c>
      <c r="E24" s="9" t="s">
        <v>7</v>
      </c>
      <c r="F24" s="47">
        <v>0.45833333333333298</v>
      </c>
      <c r="G24" s="45">
        <v>965</v>
      </c>
      <c r="H24" s="45">
        <v>1008</v>
      </c>
      <c r="I24" s="45">
        <v>977.76</v>
      </c>
      <c r="J24" s="45">
        <v>1038.24</v>
      </c>
      <c r="L24" s="9" t="s">
        <v>45</v>
      </c>
      <c r="M24" s="9" t="s">
        <v>45</v>
      </c>
      <c r="N24" s="9" t="s">
        <v>45</v>
      </c>
      <c r="O24" s="9" t="s">
        <v>45</v>
      </c>
      <c r="P24" s="9" t="s">
        <v>45</v>
      </c>
      <c r="T24">
        <f>IF($E24="","",COUNTIF($E$2:$E24,$E24))</f>
        <v>8</v>
      </c>
      <c r="U24" t="str">
        <f t="shared" si="0"/>
        <v>CLÁSICAS|8</v>
      </c>
    </row>
    <row r="25" spans="1:21" x14ac:dyDescent="0.25">
      <c r="A25" s="9" t="s">
        <v>83</v>
      </c>
      <c r="B25" s="94">
        <v>46240</v>
      </c>
      <c r="C25" s="9" t="s">
        <v>58</v>
      </c>
      <c r="D25" s="9" t="s">
        <v>40</v>
      </c>
      <c r="E25" s="9" t="s">
        <v>60</v>
      </c>
      <c r="F25" s="47">
        <v>0.45833333333333298</v>
      </c>
      <c r="G25" s="45">
        <v>935</v>
      </c>
      <c r="H25" s="45">
        <v>995</v>
      </c>
      <c r="I25" s="45">
        <v>965.15</v>
      </c>
      <c r="J25" s="45">
        <v>1024.8499999999999</v>
      </c>
      <c r="L25" s="9" t="s">
        <v>45</v>
      </c>
      <c r="M25" s="9" t="s">
        <v>45</v>
      </c>
      <c r="N25" s="9" t="s">
        <v>45</v>
      </c>
      <c r="O25" s="9" t="s">
        <v>45</v>
      </c>
      <c r="P25" s="9" t="s">
        <v>45</v>
      </c>
      <c r="T25">
        <f>IF($E25="","",COUNTIF($E$2:$E25,$E25))</f>
        <v>8</v>
      </c>
      <c r="U25" t="str">
        <f t="shared" si="0"/>
        <v>CERVICALES|8</v>
      </c>
    </row>
    <row r="26" spans="1:21" x14ac:dyDescent="0.25">
      <c r="A26" s="9" t="s">
        <v>84</v>
      </c>
      <c r="B26" s="94">
        <v>46240</v>
      </c>
      <c r="C26" s="9" t="s">
        <v>58</v>
      </c>
      <c r="D26" s="9" t="s">
        <v>40</v>
      </c>
      <c r="E26" s="9" t="s">
        <v>60</v>
      </c>
      <c r="F26" s="47">
        <v>0.5</v>
      </c>
      <c r="G26" s="45">
        <v>935</v>
      </c>
      <c r="H26" s="45">
        <v>995</v>
      </c>
      <c r="I26" s="45">
        <v>965.15</v>
      </c>
      <c r="J26" s="45">
        <v>1024.8499999999999</v>
      </c>
      <c r="L26" s="9" t="s">
        <v>45</v>
      </c>
      <c r="M26" s="9" t="s">
        <v>45</v>
      </c>
      <c r="N26" s="9" t="s">
        <v>45</v>
      </c>
      <c r="O26" s="9" t="s">
        <v>45</v>
      </c>
      <c r="P26" s="9" t="s">
        <v>45</v>
      </c>
      <c r="T26">
        <f>IF($E26="","",COUNTIF($E$2:$E26,$E26))</f>
        <v>9</v>
      </c>
      <c r="U26" t="str">
        <f t="shared" si="0"/>
        <v>CERVICALES|9</v>
      </c>
    </row>
    <row r="27" spans="1:21" x14ac:dyDescent="0.25">
      <c r="A27" s="9" t="s">
        <v>85</v>
      </c>
      <c r="B27" s="94">
        <v>46240</v>
      </c>
      <c r="C27" s="9" t="s">
        <v>58</v>
      </c>
      <c r="D27" s="9" t="s">
        <v>40</v>
      </c>
      <c r="E27" s="9" t="s">
        <v>7</v>
      </c>
      <c r="F27" s="47">
        <v>0.5</v>
      </c>
      <c r="G27" s="45">
        <v>965</v>
      </c>
      <c r="H27" s="45">
        <v>1008</v>
      </c>
      <c r="I27" s="45">
        <v>977.76</v>
      </c>
      <c r="J27" s="45">
        <v>1038.24</v>
      </c>
      <c r="L27" s="9" t="s">
        <v>45</v>
      </c>
      <c r="M27" s="9" t="s">
        <v>45</v>
      </c>
      <c r="N27" s="9" t="s">
        <v>45</v>
      </c>
      <c r="O27" s="9" t="s">
        <v>45</v>
      </c>
      <c r="P27" s="9" t="s">
        <v>45</v>
      </c>
      <c r="T27">
        <f>IF($E27="","",COUNTIF($E$2:$E27,$E27))</f>
        <v>9</v>
      </c>
      <c r="U27" t="str">
        <f t="shared" si="0"/>
        <v>CLÁSICAS|9</v>
      </c>
    </row>
    <row r="28" spans="1:21" x14ac:dyDescent="0.25">
      <c r="A28" s="9" t="s">
        <v>86</v>
      </c>
      <c r="B28" s="94">
        <v>46240</v>
      </c>
      <c r="C28" s="9" t="s">
        <v>58</v>
      </c>
      <c r="D28" s="9" t="s">
        <v>40</v>
      </c>
      <c r="E28" s="9" t="s">
        <v>62</v>
      </c>
      <c r="F28" s="47">
        <v>0.5</v>
      </c>
      <c r="G28" s="45">
        <v>965</v>
      </c>
      <c r="H28" s="45">
        <v>985</v>
      </c>
      <c r="I28" s="45">
        <v>955.45</v>
      </c>
      <c r="J28" s="45">
        <v>1014.55</v>
      </c>
      <c r="L28" s="9" t="s">
        <v>45</v>
      </c>
      <c r="M28" s="9" t="s">
        <v>45</v>
      </c>
      <c r="N28" s="9" t="s">
        <v>45</v>
      </c>
      <c r="O28" s="9" t="s">
        <v>45</v>
      </c>
      <c r="P28" s="9" t="s">
        <v>45</v>
      </c>
      <c r="T28">
        <f>IF($E28="","",COUNTIF($E$2:$E28,$E28))</f>
        <v>9</v>
      </c>
      <c r="U28" t="str">
        <f t="shared" si="0"/>
        <v>THERMOSENSE|9</v>
      </c>
    </row>
    <row r="29" spans="1:21" x14ac:dyDescent="0.25">
      <c r="A29" s="9" t="s">
        <v>87</v>
      </c>
      <c r="B29" s="94">
        <v>46241</v>
      </c>
      <c r="C29" s="9" t="s">
        <v>58</v>
      </c>
      <c r="D29" s="9" t="s">
        <v>40</v>
      </c>
      <c r="E29" s="9" t="s">
        <v>7</v>
      </c>
      <c r="F29" s="47">
        <v>0.33333333333333298</v>
      </c>
      <c r="G29" s="45">
        <v>965</v>
      </c>
      <c r="H29" s="45">
        <v>1008</v>
      </c>
      <c r="I29" s="45">
        <v>977.76</v>
      </c>
      <c r="J29" s="45">
        <v>1038.24</v>
      </c>
      <c r="L29" s="9" t="s">
        <v>45</v>
      </c>
      <c r="M29" s="9" t="s">
        <v>45</v>
      </c>
      <c r="N29" s="9" t="s">
        <v>45</v>
      </c>
      <c r="O29" s="9" t="s">
        <v>45</v>
      </c>
      <c r="P29" s="9" t="s">
        <v>45</v>
      </c>
      <c r="T29">
        <f>IF($E29="","",COUNTIF($E$2:$E29,$E29))</f>
        <v>10</v>
      </c>
      <c r="U29" t="str">
        <f t="shared" si="0"/>
        <v>CLÁSICAS|10</v>
      </c>
    </row>
    <row r="30" spans="1:21" x14ac:dyDescent="0.25">
      <c r="A30" s="9" t="s">
        <v>88</v>
      </c>
      <c r="B30" s="94">
        <v>46241</v>
      </c>
      <c r="C30" s="9" t="s">
        <v>58</v>
      </c>
      <c r="D30" s="9" t="s">
        <v>40</v>
      </c>
      <c r="E30" s="9" t="s">
        <v>60</v>
      </c>
      <c r="F30" s="47">
        <v>0.33333333333333298</v>
      </c>
      <c r="G30" s="45">
        <v>935</v>
      </c>
      <c r="H30" s="45">
        <v>995</v>
      </c>
      <c r="I30" s="45">
        <v>965.15</v>
      </c>
      <c r="J30" s="45">
        <v>1024.8499999999999</v>
      </c>
      <c r="L30" s="9" t="s">
        <v>45</v>
      </c>
      <c r="M30" s="9" t="s">
        <v>45</v>
      </c>
      <c r="N30" s="9" t="s">
        <v>45</v>
      </c>
      <c r="O30" s="9" t="s">
        <v>45</v>
      </c>
      <c r="P30" s="9" t="s">
        <v>45</v>
      </c>
      <c r="T30">
        <f>IF($E30="","",COUNTIF($E$2:$E30,$E30))</f>
        <v>10</v>
      </c>
      <c r="U30" t="str">
        <f t="shared" si="0"/>
        <v>CERVICALES|10</v>
      </c>
    </row>
    <row r="31" spans="1:21" x14ac:dyDescent="0.25">
      <c r="A31" s="9" t="s">
        <v>89</v>
      </c>
      <c r="B31" s="94">
        <v>46241</v>
      </c>
      <c r="C31" s="9" t="s">
        <v>58</v>
      </c>
      <c r="D31" s="9" t="s">
        <v>40</v>
      </c>
      <c r="E31" s="9" t="s">
        <v>60</v>
      </c>
      <c r="F31" s="47">
        <v>0.375</v>
      </c>
      <c r="G31" s="45">
        <v>935</v>
      </c>
      <c r="H31" s="45">
        <v>995</v>
      </c>
      <c r="I31" s="45">
        <v>965.15</v>
      </c>
      <c r="J31" s="45">
        <v>1024.8499999999999</v>
      </c>
      <c r="L31" s="9" t="s">
        <v>45</v>
      </c>
      <c r="M31" s="9" t="s">
        <v>45</v>
      </c>
      <c r="N31" s="9" t="s">
        <v>45</v>
      </c>
      <c r="O31" s="9" t="s">
        <v>45</v>
      </c>
      <c r="P31" s="9" t="s">
        <v>45</v>
      </c>
      <c r="T31">
        <f>IF($E31="","",COUNTIF($E$2:$E31,$E31))</f>
        <v>11</v>
      </c>
      <c r="U31" t="str">
        <f t="shared" si="0"/>
        <v>CERVICALES|11</v>
      </c>
    </row>
    <row r="32" spans="1:21" x14ac:dyDescent="0.25">
      <c r="A32" s="9" t="s">
        <v>90</v>
      </c>
      <c r="B32" s="94">
        <v>46241</v>
      </c>
      <c r="C32" s="9" t="s">
        <v>58</v>
      </c>
      <c r="D32" s="9" t="s">
        <v>40</v>
      </c>
      <c r="E32" s="9" t="s">
        <v>7</v>
      </c>
      <c r="F32" s="47">
        <v>0.375</v>
      </c>
      <c r="G32" s="45">
        <v>970</v>
      </c>
      <c r="H32" s="45">
        <v>1008</v>
      </c>
      <c r="I32" s="45">
        <v>977.76</v>
      </c>
      <c r="J32" s="45">
        <v>1038.24</v>
      </c>
      <c r="L32" s="9" t="s">
        <v>45</v>
      </c>
      <c r="M32" s="9" t="s">
        <v>45</v>
      </c>
      <c r="N32" s="9" t="s">
        <v>45</v>
      </c>
      <c r="O32" s="9" t="s">
        <v>45</v>
      </c>
      <c r="P32" s="9" t="s">
        <v>45</v>
      </c>
      <c r="T32">
        <f>IF($E32="","",COUNTIF($E$2:$E32,$E32))</f>
        <v>11</v>
      </c>
      <c r="U32" t="str">
        <f t="shared" si="0"/>
        <v>CLÁSICAS|11</v>
      </c>
    </row>
    <row r="33" spans="1:21" x14ac:dyDescent="0.25">
      <c r="A33" s="9" t="s">
        <v>91</v>
      </c>
      <c r="B33" s="94">
        <v>46241</v>
      </c>
      <c r="C33" s="9" t="s">
        <v>58</v>
      </c>
      <c r="D33" s="9" t="s">
        <v>40</v>
      </c>
      <c r="E33" s="9" t="s">
        <v>7</v>
      </c>
      <c r="F33" s="47">
        <v>0.41666666666666702</v>
      </c>
      <c r="G33" s="45">
        <v>970</v>
      </c>
      <c r="H33" s="45">
        <v>1008</v>
      </c>
      <c r="I33" s="45">
        <v>977.76</v>
      </c>
      <c r="J33" s="45">
        <v>1038.24</v>
      </c>
      <c r="L33" s="9" t="s">
        <v>45</v>
      </c>
      <c r="M33" s="9" t="s">
        <v>45</v>
      </c>
      <c r="N33" s="9" t="s">
        <v>45</v>
      </c>
      <c r="O33" s="9" t="s">
        <v>45</v>
      </c>
      <c r="P33" s="9" t="s">
        <v>45</v>
      </c>
      <c r="T33">
        <f>IF($E33="","",COUNTIF($E$2:$E33,$E33))</f>
        <v>12</v>
      </c>
      <c r="U33" t="str">
        <f t="shared" si="0"/>
        <v>CLÁSICAS|12</v>
      </c>
    </row>
    <row r="34" spans="1:21" x14ac:dyDescent="0.25">
      <c r="A34" s="9" t="s">
        <v>92</v>
      </c>
      <c r="B34" s="94">
        <v>46241</v>
      </c>
      <c r="C34" s="9" t="s">
        <v>58</v>
      </c>
      <c r="D34" s="9" t="s">
        <v>40</v>
      </c>
      <c r="E34" s="9" t="s">
        <v>60</v>
      </c>
      <c r="F34" s="47">
        <v>0.41666666666666702</v>
      </c>
      <c r="G34" s="45">
        <v>935</v>
      </c>
      <c r="H34" s="45">
        <v>995</v>
      </c>
      <c r="I34" s="45">
        <v>965.15</v>
      </c>
      <c r="J34" s="45">
        <v>1024.8499999999999</v>
      </c>
      <c r="L34" s="9" t="s">
        <v>45</v>
      </c>
      <c r="M34" s="9" t="s">
        <v>45</v>
      </c>
      <c r="N34" s="9" t="s">
        <v>45</v>
      </c>
      <c r="O34" s="9" t="s">
        <v>45</v>
      </c>
      <c r="P34" s="9" t="s">
        <v>45</v>
      </c>
      <c r="T34">
        <f>IF($E34="","",COUNTIF($E$2:$E34,$E34))</f>
        <v>12</v>
      </c>
      <c r="U34" t="str">
        <f t="shared" si="0"/>
        <v>CERVICALES|12</v>
      </c>
    </row>
    <row r="35" spans="1:21" x14ac:dyDescent="0.25">
      <c r="A35" s="9" t="s">
        <v>93</v>
      </c>
      <c r="B35" s="94">
        <v>46241</v>
      </c>
      <c r="C35" s="9" t="s">
        <v>58</v>
      </c>
      <c r="D35" s="9" t="s">
        <v>40</v>
      </c>
      <c r="E35" s="9" t="s">
        <v>60</v>
      </c>
      <c r="F35" s="47">
        <v>0.45833333333333298</v>
      </c>
      <c r="G35" s="45">
        <v>935</v>
      </c>
      <c r="H35" s="45">
        <v>995</v>
      </c>
      <c r="I35" s="45">
        <v>965.15</v>
      </c>
      <c r="J35" s="45">
        <v>1024.8499999999999</v>
      </c>
      <c r="L35" s="9" t="s">
        <v>45</v>
      </c>
      <c r="M35" s="9" t="s">
        <v>45</v>
      </c>
      <c r="N35" s="9" t="s">
        <v>45</v>
      </c>
      <c r="O35" s="9" t="s">
        <v>45</v>
      </c>
      <c r="P35" s="9" t="s">
        <v>45</v>
      </c>
      <c r="T35">
        <f>IF($E35="","",COUNTIF($E$2:$E35,$E35))</f>
        <v>13</v>
      </c>
      <c r="U35" t="str">
        <f t="shared" si="0"/>
        <v>CERVICALES|13</v>
      </c>
    </row>
    <row r="36" spans="1:21" x14ac:dyDescent="0.25">
      <c r="A36" s="9" t="s">
        <v>94</v>
      </c>
      <c r="B36" s="94">
        <v>46241</v>
      </c>
      <c r="C36" s="9" t="s">
        <v>58</v>
      </c>
      <c r="D36" s="9" t="s">
        <v>40</v>
      </c>
      <c r="E36" s="9" t="s">
        <v>7</v>
      </c>
      <c r="F36" s="47">
        <v>0.45833333333333298</v>
      </c>
      <c r="G36" s="45">
        <v>965</v>
      </c>
      <c r="H36" s="45">
        <v>1008</v>
      </c>
      <c r="I36" s="45">
        <v>977.76</v>
      </c>
      <c r="J36" s="45">
        <v>1038.24</v>
      </c>
      <c r="L36" s="9" t="s">
        <v>45</v>
      </c>
      <c r="M36" s="9" t="s">
        <v>45</v>
      </c>
      <c r="N36" s="9" t="s">
        <v>45</v>
      </c>
      <c r="O36" s="9" t="s">
        <v>45</v>
      </c>
      <c r="P36" s="9" t="s">
        <v>45</v>
      </c>
      <c r="T36">
        <f>IF($E36="","",COUNTIF($E$2:$E36,$E36))</f>
        <v>13</v>
      </c>
      <c r="U36" t="str">
        <f t="shared" si="0"/>
        <v>CLÁSICAS|13</v>
      </c>
    </row>
    <row r="37" spans="1:21" x14ac:dyDescent="0.25">
      <c r="A37" s="9" t="s">
        <v>95</v>
      </c>
      <c r="B37" s="94">
        <v>46244</v>
      </c>
      <c r="C37" s="9" t="s">
        <v>58</v>
      </c>
      <c r="D37" s="9" t="s">
        <v>40</v>
      </c>
      <c r="E37" s="9" t="s">
        <v>7</v>
      </c>
      <c r="F37" s="47">
        <v>0.25</v>
      </c>
      <c r="G37" s="45">
        <v>965</v>
      </c>
      <c r="H37" s="45">
        <v>1008</v>
      </c>
      <c r="I37" s="45">
        <v>977.76</v>
      </c>
      <c r="J37" s="45">
        <v>1038.24</v>
      </c>
      <c r="L37" s="9" t="s">
        <v>45</v>
      </c>
      <c r="M37" s="9" t="s">
        <v>45</v>
      </c>
      <c r="N37" s="9" t="s">
        <v>45</v>
      </c>
      <c r="O37" s="9" t="s">
        <v>45</v>
      </c>
      <c r="P37" s="9" t="s">
        <v>45</v>
      </c>
      <c r="T37">
        <f>IF($E37="","",COUNTIF($E$2:$E37,$E37))</f>
        <v>14</v>
      </c>
      <c r="U37" t="str">
        <f t="shared" si="0"/>
        <v>CLÁSICAS|14</v>
      </c>
    </row>
    <row r="38" spans="1:21" x14ac:dyDescent="0.25">
      <c r="A38" s="9" t="s">
        <v>96</v>
      </c>
      <c r="B38" s="94">
        <v>46244</v>
      </c>
      <c r="C38" s="9" t="s">
        <v>58</v>
      </c>
      <c r="D38" s="9" t="s">
        <v>40</v>
      </c>
      <c r="E38" s="9" t="s">
        <v>60</v>
      </c>
      <c r="F38" s="47">
        <v>0.25</v>
      </c>
      <c r="G38" s="45">
        <v>940</v>
      </c>
      <c r="H38" s="45">
        <v>995</v>
      </c>
      <c r="I38" s="45">
        <v>965.15</v>
      </c>
      <c r="J38" s="45">
        <v>1024.8499999999999</v>
      </c>
      <c r="L38" s="9" t="s">
        <v>45</v>
      </c>
      <c r="M38" s="9" t="s">
        <v>45</v>
      </c>
      <c r="N38" s="9" t="s">
        <v>45</v>
      </c>
      <c r="O38" s="9" t="s">
        <v>45</v>
      </c>
      <c r="P38" s="9" t="s">
        <v>45</v>
      </c>
      <c r="T38">
        <f>IF($E38="","",COUNTIF($E$2:$E38,$E38))</f>
        <v>14</v>
      </c>
      <c r="U38" t="str">
        <f t="shared" si="0"/>
        <v>CERVICALES|14</v>
      </c>
    </row>
    <row r="39" spans="1:21" x14ac:dyDescent="0.25">
      <c r="A39" s="9" t="s">
        <v>97</v>
      </c>
      <c r="B39" s="94">
        <v>46244</v>
      </c>
      <c r="C39" s="9" t="s">
        <v>58</v>
      </c>
      <c r="D39" s="9" t="s">
        <v>40</v>
      </c>
      <c r="E39" s="9" t="s">
        <v>60</v>
      </c>
      <c r="F39" s="47">
        <v>0.29166666666666702</v>
      </c>
      <c r="G39" s="45">
        <v>940</v>
      </c>
      <c r="H39" s="45">
        <v>995</v>
      </c>
      <c r="I39" s="45">
        <v>965.15</v>
      </c>
      <c r="J39" s="45">
        <v>1024.8499999999999</v>
      </c>
      <c r="L39" s="9" t="s">
        <v>45</v>
      </c>
      <c r="M39" s="9" t="s">
        <v>45</v>
      </c>
      <c r="N39" s="9" t="s">
        <v>45</v>
      </c>
      <c r="O39" s="9" t="s">
        <v>45</v>
      </c>
      <c r="P39" s="9" t="s">
        <v>45</v>
      </c>
      <c r="T39">
        <f>IF($E39="","",COUNTIF($E$2:$E39,$E39))</f>
        <v>15</v>
      </c>
      <c r="U39" t="str">
        <f t="shared" si="0"/>
        <v>CERVICALES|15</v>
      </c>
    </row>
    <row r="40" spans="1:21" x14ac:dyDescent="0.25">
      <c r="A40" s="9" t="s">
        <v>98</v>
      </c>
      <c r="B40" s="94">
        <v>46244</v>
      </c>
      <c r="C40" s="9" t="s">
        <v>58</v>
      </c>
      <c r="D40" s="9" t="s">
        <v>40</v>
      </c>
      <c r="E40" s="9" t="s">
        <v>7</v>
      </c>
      <c r="F40" s="47">
        <v>0.29166666666666702</v>
      </c>
      <c r="G40" s="45">
        <v>965</v>
      </c>
      <c r="H40" s="45">
        <v>1008</v>
      </c>
      <c r="I40" s="45">
        <v>977.76</v>
      </c>
      <c r="J40" s="45">
        <v>1038.24</v>
      </c>
      <c r="L40" s="9" t="s">
        <v>45</v>
      </c>
      <c r="M40" s="9" t="s">
        <v>45</v>
      </c>
      <c r="N40" s="9" t="s">
        <v>45</v>
      </c>
      <c r="O40" s="9" t="s">
        <v>45</v>
      </c>
      <c r="P40" s="9" t="s">
        <v>45</v>
      </c>
      <c r="T40">
        <f>IF($E40="","",COUNTIF($E$2:$E40,$E40))</f>
        <v>15</v>
      </c>
      <c r="U40" t="str">
        <f t="shared" si="0"/>
        <v>CLÁSICAS|15</v>
      </c>
    </row>
    <row r="41" spans="1:21" x14ac:dyDescent="0.25">
      <c r="A41" s="9" t="s">
        <v>99</v>
      </c>
      <c r="B41" s="94">
        <v>46244</v>
      </c>
      <c r="C41" s="9" t="s">
        <v>58</v>
      </c>
      <c r="D41" s="9" t="s">
        <v>40</v>
      </c>
      <c r="E41" s="9" t="s">
        <v>7</v>
      </c>
      <c r="F41" s="47">
        <v>0.33333333333333298</v>
      </c>
      <c r="G41" s="45">
        <v>965</v>
      </c>
      <c r="H41" s="45">
        <v>1008</v>
      </c>
      <c r="I41" s="45">
        <v>977.76</v>
      </c>
      <c r="J41" s="45">
        <v>1038.24</v>
      </c>
      <c r="L41" s="9" t="s">
        <v>45</v>
      </c>
      <c r="M41" s="9" t="s">
        <v>45</v>
      </c>
      <c r="N41" s="9" t="s">
        <v>45</v>
      </c>
      <c r="O41" s="9" t="s">
        <v>45</v>
      </c>
      <c r="P41" s="9" t="s">
        <v>45</v>
      </c>
      <c r="T41">
        <f>IF($E41="","",COUNTIF($E$2:$E41,$E41))</f>
        <v>16</v>
      </c>
      <c r="U41" t="str">
        <f t="shared" si="0"/>
        <v>CLÁSICAS|16</v>
      </c>
    </row>
    <row r="42" spans="1:21" x14ac:dyDescent="0.25">
      <c r="A42" s="9" t="s">
        <v>100</v>
      </c>
      <c r="B42" s="94">
        <v>46244</v>
      </c>
      <c r="C42" s="9" t="s">
        <v>58</v>
      </c>
      <c r="D42" s="9" t="s">
        <v>40</v>
      </c>
      <c r="E42" s="9" t="s">
        <v>60</v>
      </c>
      <c r="F42" s="47">
        <v>0.33333333333333298</v>
      </c>
      <c r="G42" s="45">
        <v>945</v>
      </c>
      <c r="H42" s="45">
        <v>995</v>
      </c>
      <c r="I42" s="45">
        <v>965.15</v>
      </c>
      <c r="J42" s="45">
        <v>1024.8499999999999</v>
      </c>
      <c r="L42" s="9" t="s">
        <v>45</v>
      </c>
      <c r="M42" s="9" t="s">
        <v>45</v>
      </c>
      <c r="N42" s="9" t="s">
        <v>45</v>
      </c>
      <c r="O42" s="9" t="s">
        <v>45</v>
      </c>
      <c r="P42" s="9" t="s">
        <v>45</v>
      </c>
      <c r="T42">
        <f>IF($E42="","",COUNTIF($E$2:$E42,$E42))</f>
        <v>16</v>
      </c>
      <c r="U42" t="str">
        <f t="shared" si="0"/>
        <v>CERVICALES|16</v>
      </c>
    </row>
    <row r="43" spans="1:21" x14ac:dyDescent="0.25">
      <c r="A43" s="9" t="s">
        <v>101</v>
      </c>
      <c r="B43" s="94">
        <v>46244</v>
      </c>
      <c r="C43" s="9" t="s">
        <v>58</v>
      </c>
      <c r="D43" s="9" t="s">
        <v>40</v>
      </c>
      <c r="E43" s="9" t="s">
        <v>60</v>
      </c>
      <c r="F43" s="47">
        <v>0.375</v>
      </c>
      <c r="G43" s="45">
        <v>945</v>
      </c>
      <c r="H43" s="45">
        <v>995</v>
      </c>
      <c r="I43" s="45">
        <v>965.15</v>
      </c>
      <c r="J43" s="45">
        <v>1024.8499999999999</v>
      </c>
      <c r="L43" s="9" t="s">
        <v>45</v>
      </c>
      <c r="M43" s="9" t="s">
        <v>45</v>
      </c>
      <c r="N43" s="9" t="s">
        <v>45</v>
      </c>
      <c r="O43" s="9" t="s">
        <v>45</v>
      </c>
      <c r="P43" s="9" t="s">
        <v>45</v>
      </c>
      <c r="T43">
        <f>IF($E43="","",COUNTIF($E$2:$E43,$E43))</f>
        <v>17</v>
      </c>
      <c r="U43" t="str">
        <f t="shared" si="0"/>
        <v>CERVICALES|17</v>
      </c>
    </row>
    <row r="44" spans="1:21" x14ac:dyDescent="0.25">
      <c r="A44" s="9" t="s">
        <v>102</v>
      </c>
      <c r="B44" s="94">
        <v>46244</v>
      </c>
      <c r="C44" s="9" t="s">
        <v>58</v>
      </c>
      <c r="D44" s="9" t="s">
        <v>40</v>
      </c>
      <c r="E44" s="9" t="s">
        <v>7</v>
      </c>
      <c r="F44" s="47">
        <v>0.375</v>
      </c>
      <c r="G44" s="45">
        <v>970</v>
      </c>
      <c r="H44" s="45">
        <v>1008</v>
      </c>
      <c r="I44" s="45">
        <v>977.76</v>
      </c>
      <c r="J44" s="45">
        <v>1038.24</v>
      </c>
      <c r="L44" s="9" t="s">
        <v>45</v>
      </c>
      <c r="M44" s="9" t="s">
        <v>45</v>
      </c>
      <c r="N44" s="9" t="s">
        <v>45</v>
      </c>
      <c r="O44" s="9" t="s">
        <v>45</v>
      </c>
      <c r="P44" s="9" t="s">
        <v>45</v>
      </c>
      <c r="T44">
        <f>IF($E44="","",COUNTIF($E$2:$E44,$E44))</f>
        <v>17</v>
      </c>
      <c r="U44" t="str">
        <f t="shared" si="0"/>
        <v>CLÁSICAS|17</v>
      </c>
    </row>
    <row r="45" spans="1:21" x14ac:dyDescent="0.25">
      <c r="A45" s="9" t="s">
        <v>103</v>
      </c>
      <c r="B45" s="94">
        <v>46244</v>
      </c>
      <c r="C45" s="9" t="s">
        <v>104</v>
      </c>
      <c r="D45" s="9" t="s">
        <v>40</v>
      </c>
      <c r="E45" s="9" t="s">
        <v>7</v>
      </c>
      <c r="F45" s="47">
        <v>0.41666666666666702</v>
      </c>
      <c r="G45" s="45">
        <v>970</v>
      </c>
      <c r="H45" s="45">
        <v>1008</v>
      </c>
      <c r="I45" s="45">
        <v>977.76</v>
      </c>
      <c r="J45" s="45">
        <v>1038.24</v>
      </c>
      <c r="L45" s="9" t="s">
        <v>45</v>
      </c>
      <c r="M45" s="9" t="s">
        <v>45</v>
      </c>
      <c r="N45" s="9" t="s">
        <v>45</v>
      </c>
      <c r="O45" s="9" t="s">
        <v>45</v>
      </c>
      <c r="P45" s="9" t="s">
        <v>45</v>
      </c>
      <c r="T45">
        <f>IF($E45="","",COUNTIF($E$2:$E45,$E45))</f>
        <v>18</v>
      </c>
      <c r="U45" t="str">
        <f t="shared" si="0"/>
        <v>CLÁSICAS|18</v>
      </c>
    </row>
    <row r="46" spans="1:21" x14ac:dyDescent="0.25">
      <c r="A46" s="9" t="s">
        <v>105</v>
      </c>
      <c r="B46" s="94">
        <v>46244</v>
      </c>
      <c r="C46" s="9" t="s">
        <v>104</v>
      </c>
      <c r="D46" s="9" t="s">
        <v>40</v>
      </c>
      <c r="E46" s="9" t="s">
        <v>60</v>
      </c>
      <c r="F46" s="47">
        <v>0.41666666666666702</v>
      </c>
      <c r="G46" s="45">
        <v>970</v>
      </c>
      <c r="H46" s="45">
        <v>995</v>
      </c>
      <c r="I46" s="45">
        <v>965.15</v>
      </c>
      <c r="J46" s="45">
        <v>1024.8499999999999</v>
      </c>
      <c r="L46" s="9" t="s">
        <v>45</v>
      </c>
      <c r="M46" s="9" t="s">
        <v>45</v>
      </c>
      <c r="N46" s="9" t="s">
        <v>45</v>
      </c>
      <c r="O46" s="9" t="s">
        <v>45</v>
      </c>
      <c r="P46" s="9" t="s">
        <v>45</v>
      </c>
      <c r="T46">
        <f>IF($E46="","",COUNTIF($E$2:$E46,$E46))</f>
        <v>18</v>
      </c>
      <c r="U46" t="str">
        <f t="shared" si="0"/>
        <v>CERVICALES|18</v>
      </c>
    </row>
    <row r="47" spans="1:21" x14ac:dyDescent="0.25">
      <c r="A47" s="9" t="s">
        <v>106</v>
      </c>
      <c r="B47" s="94">
        <v>46244</v>
      </c>
      <c r="C47" s="9" t="s">
        <v>104</v>
      </c>
      <c r="D47" s="9" t="s">
        <v>40</v>
      </c>
      <c r="E47" s="9" t="s">
        <v>60</v>
      </c>
      <c r="F47" s="47">
        <v>0.45833333333333298</v>
      </c>
      <c r="G47" s="45">
        <v>970</v>
      </c>
      <c r="H47" s="45">
        <v>995</v>
      </c>
      <c r="I47" s="45">
        <v>965.15</v>
      </c>
      <c r="J47" s="45">
        <v>1024.8499999999999</v>
      </c>
      <c r="L47" s="9" t="s">
        <v>45</v>
      </c>
      <c r="M47" s="9" t="s">
        <v>45</v>
      </c>
      <c r="N47" s="9" t="s">
        <v>45</v>
      </c>
      <c r="O47" s="9" t="s">
        <v>45</v>
      </c>
      <c r="P47" s="9" t="s">
        <v>45</v>
      </c>
      <c r="T47">
        <f>IF($E47="","",COUNTIF($E$2:$E47,$E47))</f>
        <v>19</v>
      </c>
      <c r="U47" t="str">
        <f t="shared" si="0"/>
        <v>CERVICALES|19</v>
      </c>
    </row>
    <row r="48" spans="1:21" x14ac:dyDescent="0.25">
      <c r="A48" s="9" t="s">
        <v>107</v>
      </c>
      <c r="B48" s="94">
        <v>46244</v>
      </c>
      <c r="C48" s="9" t="s">
        <v>104</v>
      </c>
      <c r="D48" s="9" t="s">
        <v>40</v>
      </c>
      <c r="E48" s="9" t="s">
        <v>7</v>
      </c>
      <c r="F48" s="47">
        <v>0.45833333333333298</v>
      </c>
      <c r="G48" s="45">
        <v>970</v>
      </c>
      <c r="H48" s="45">
        <v>1008</v>
      </c>
      <c r="I48" s="45">
        <v>977.76</v>
      </c>
      <c r="J48" s="45">
        <v>1038.24</v>
      </c>
      <c r="L48" s="9" t="s">
        <v>45</v>
      </c>
      <c r="M48" s="9" t="s">
        <v>45</v>
      </c>
      <c r="N48" s="9" t="s">
        <v>45</v>
      </c>
      <c r="O48" s="9" t="s">
        <v>45</v>
      </c>
      <c r="P48" s="9" t="s">
        <v>45</v>
      </c>
      <c r="T48">
        <f>IF($E48="","",COUNTIF($E$2:$E48,$E48))</f>
        <v>19</v>
      </c>
      <c r="U48" t="str">
        <f t="shared" si="0"/>
        <v>CLÁSICAS|19</v>
      </c>
    </row>
    <row r="49" spans="1:21" x14ac:dyDescent="0.25">
      <c r="A49" s="9" t="s">
        <v>108</v>
      </c>
      <c r="B49" s="94">
        <v>46244</v>
      </c>
      <c r="C49" s="9" t="s">
        <v>104</v>
      </c>
      <c r="D49" s="9" t="s">
        <v>40</v>
      </c>
      <c r="E49" s="9" t="s">
        <v>7</v>
      </c>
      <c r="F49" s="47">
        <v>0.5</v>
      </c>
      <c r="G49" s="45">
        <v>940</v>
      </c>
      <c r="H49" s="45">
        <v>1008</v>
      </c>
      <c r="I49" s="45">
        <v>977.76</v>
      </c>
      <c r="J49" s="45">
        <v>1038.24</v>
      </c>
      <c r="L49" s="9" t="s">
        <v>45</v>
      </c>
      <c r="M49" s="9" t="s">
        <v>45</v>
      </c>
      <c r="N49" s="9" t="s">
        <v>45</v>
      </c>
      <c r="O49" s="9" t="s">
        <v>45</v>
      </c>
      <c r="P49" s="9" t="s">
        <v>45</v>
      </c>
      <c r="T49">
        <f>IF($E49="","",COUNTIF($E$2:$E49,$E49))</f>
        <v>20</v>
      </c>
      <c r="U49" t="str">
        <f t="shared" si="0"/>
        <v>CLÁSICAS|20</v>
      </c>
    </row>
    <row r="50" spans="1:21" x14ac:dyDescent="0.25">
      <c r="A50" s="9" t="s">
        <v>109</v>
      </c>
      <c r="B50" s="94">
        <v>46244</v>
      </c>
      <c r="C50" s="9" t="s">
        <v>104</v>
      </c>
      <c r="D50" s="9" t="s">
        <v>40</v>
      </c>
      <c r="E50" s="9" t="s">
        <v>60</v>
      </c>
      <c r="F50" s="47">
        <v>0.5</v>
      </c>
      <c r="G50" s="45">
        <v>940</v>
      </c>
      <c r="H50" s="45">
        <v>995</v>
      </c>
      <c r="I50" s="45">
        <v>965.15</v>
      </c>
      <c r="J50" s="45">
        <v>1024.8499999999999</v>
      </c>
      <c r="L50" s="9" t="s">
        <v>45</v>
      </c>
      <c r="M50" s="9" t="s">
        <v>45</v>
      </c>
      <c r="N50" s="9" t="s">
        <v>45</v>
      </c>
      <c r="O50" s="9" t="s">
        <v>45</v>
      </c>
      <c r="P50" s="9" t="s">
        <v>45</v>
      </c>
      <c r="T50">
        <f>IF($E50="","",COUNTIF($E$2:$E50,$E50))</f>
        <v>20</v>
      </c>
      <c r="U50" t="str">
        <f t="shared" si="0"/>
        <v>CERVICALES|20</v>
      </c>
    </row>
    <row r="51" spans="1:21" x14ac:dyDescent="0.25">
      <c r="A51" s="9" t="s">
        <v>110</v>
      </c>
      <c r="B51" s="94">
        <v>46244</v>
      </c>
      <c r="C51" s="9" t="s">
        <v>104</v>
      </c>
      <c r="D51" s="9" t="s">
        <v>40</v>
      </c>
      <c r="E51" s="9" t="s">
        <v>60</v>
      </c>
      <c r="F51" s="47">
        <v>0.54166666666666696</v>
      </c>
      <c r="G51" s="45">
        <v>940</v>
      </c>
      <c r="H51" s="45">
        <v>995</v>
      </c>
      <c r="I51" s="45">
        <v>965.15</v>
      </c>
      <c r="J51" s="45">
        <v>1024.8499999999999</v>
      </c>
      <c r="L51" s="9" t="s">
        <v>45</v>
      </c>
      <c r="M51" s="9" t="s">
        <v>45</v>
      </c>
      <c r="N51" s="9" t="s">
        <v>45</v>
      </c>
      <c r="O51" s="9" t="s">
        <v>45</v>
      </c>
      <c r="P51" s="9" t="s">
        <v>45</v>
      </c>
      <c r="T51">
        <f>IF($E51="","",COUNTIF($E$2:$E51,$E51))</f>
        <v>21</v>
      </c>
      <c r="U51" t="str">
        <f t="shared" si="0"/>
        <v>CERVICALES|21</v>
      </c>
    </row>
    <row r="52" spans="1:21" x14ac:dyDescent="0.25">
      <c r="A52" s="9" t="s">
        <v>111</v>
      </c>
      <c r="B52" s="94">
        <v>46244</v>
      </c>
      <c r="C52" s="9" t="s">
        <v>104</v>
      </c>
      <c r="D52" s="9" t="s">
        <v>40</v>
      </c>
      <c r="E52" s="9" t="s">
        <v>7</v>
      </c>
      <c r="F52" s="47">
        <v>0.54166666666666696</v>
      </c>
      <c r="G52" s="45">
        <v>940</v>
      </c>
      <c r="H52" s="45">
        <v>1008</v>
      </c>
      <c r="I52" s="45">
        <v>977.76</v>
      </c>
      <c r="J52" s="45">
        <v>1038.24</v>
      </c>
      <c r="L52" s="9" t="s">
        <v>45</v>
      </c>
      <c r="M52" s="9" t="s">
        <v>45</v>
      </c>
      <c r="N52" s="9" t="s">
        <v>45</v>
      </c>
      <c r="O52" s="9" t="s">
        <v>45</v>
      </c>
      <c r="P52" s="9" t="s">
        <v>45</v>
      </c>
      <c r="T52">
        <f>IF($E52="","",COUNTIF($E$2:$E52,$E52))</f>
        <v>21</v>
      </c>
      <c r="U52" t="str">
        <f t="shared" si="0"/>
        <v>CLÁSICAS|21</v>
      </c>
    </row>
    <row r="53" spans="1:21" x14ac:dyDescent="0.25">
      <c r="A53" s="9" t="s">
        <v>112</v>
      </c>
      <c r="B53" s="94">
        <v>46245</v>
      </c>
      <c r="C53" s="9" t="s">
        <v>58</v>
      </c>
      <c r="D53" s="9" t="s">
        <v>40</v>
      </c>
      <c r="E53" s="9" t="s">
        <v>7</v>
      </c>
      <c r="F53" s="47">
        <v>0.25</v>
      </c>
      <c r="G53" s="45">
        <v>860</v>
      </c>
      <c r="H53" s="45">
        <v>1008</v>
      </c>
      <c r="I53" s="45">
        <v>977.76</v>
      </c>
      <c r="J53" s="45">
        <v>1038.24</v>
      </c>
      <c r="L53" s="9" t="s">
        <v>45</v>
      </c>
      <c r="M53" s="9" t="s">
        <v>45</v>
      </c>
      <c r="N53" s="9" t="s">
        <v>45</v>
      </c>
      <c r="O53" s="9" t="s">
        <v>45</v>
      </c>
      <c r="P53" s="9" t="s">
        <v>45</v>
      </c>
      <c r="T53">
        <f>IF($E53="","",COUNTIF($E$2:$E53,$E53))</f>
        <v>22</v>
      </c>
      <c r="U53" t="str">
        <f t="shared" si="0"/>
        <v>CLÁSICAS|22</v>
      </c>
    </row>
    <row r="54" spans="1:21" x14ac:dyDescent="0.25">
      <c r="A54" s="9" t="s">
        <v>113</v>
      </c>
      <c r="B54" s="94">
        <v>46245</v>
      </c>
      <c r="C54" s="9" t="s">
        <v>58</v>
      </c>
      <c r="D54" s="9" t="s">
        <v>40</v>
      </c>
      <c r="E54" s="9" t="s">
        <v>60</v>
      </c>
      <c r="F54" s="47">
        <v>0.25</v>
      </c>
      <c r="G54" s="45">
        <v>850</v>
      </c>
      <c r="H54" s="45">
        <v>995</v>
      </c>
      <c r="I54" s="45">
        <v>965.15</v>
      </c>
      <c r="J54" s="45">
        <v>1024.8499999999999</v>
      </c>
      <c r="L54" s="9" t="s">
        <v>45</v>
      </c>
      <c r="M54" s="9" t="s">
        <v>45</v>
      </c>
      <c r="N54" s="9" t="s">
        <v>45</v>
      </c>
      <c r="O54" s="9" t="s">
        <v>45</v>
      </c>
      <c r="P54" s="9" t="s">
        <v>45</v>
      </c>
      <c r="T54">
        <f>IF($E54="","",COUNTIF($E$2:$E54,$E54))</f>
        <v>22</v>
      </c>
      <c r="U54" t="str">
        <f t="shared" si="0"/>
        <v>CERVICALES|22</v>
      </c>
    </row>
    <row r="55" spans="1:21" x14ac:dyDescent="0.25">
      <c r="A55" s="9" t="s">
        <v>114</v>
      </c>
      <c r="B55" s="94">
        <v>46245</v>
      </c>
      <c r="C55" s="9" t="s">
        <v>58</v>
      </c>
      <c r="D55" s="9" t="s">
        <v>40</v>
      </c>
      <c r="E55" s="9" t="s">
        <v>60</v>
      </c>
      <c r="F55" s="47">
        <v>0.29166666666666702</v>
      </c>
      <c r="G55" s="45">
        <v>850</v>
      </c>
      <c r="H55" s="45">
        <v>995</v>
      </c>
      <c r="I55" s="45">
        <v>965.15</v>
      </c>
      <c r="J55" s="45">
        <v>1024.8499999999999</v>
      </c>
      <c r="L55" s="9" t="s">
        <v>45</v>
      </c>
      <c r="M55" s="9" t="s">
        <v>45</v>
      </c>
      <c r="N55" s="9" t="s">
        <v>45</v>
      </c>
      <c r="O55" s="9" t="s">
        <v>45</v>
      </c>
      <c r="P55" s="9" t="s">
        <v>45</v>
      </c>
      <c r="T55">
        <f>IF($E55="","",COUNTIF($E$2:$E55,$E55))</f>
        <v>23</v>
      </c>
      <c r="U55" t="str">
        <f t="shared" si="0"/>
        <v>CERVICALES|23</v>
      </c>
    </row>
    <row r="56" spans="1:21" x14ac:dyDescent="0.25">
      <c r="A56" s="9" t="s">
        <v>115</v>
      </c>
      <c r="B56" s="94">
        <v>46245</v>
      </c>
      <c r="C56" s="9" t="s">
        <v>58</v>
      </c>
      <c r="D56" s="9" t="s">
        <v>40</v>
      </c>
      <c r="E56" s="9" t="s">
        <v>7</v>
      </c>
      <c r="F56" s="47">
        <v>0.29166666666666702</v>
      </c>
      <c r="G56" s="45">
        <v>855</v>
      </c>
      <c r="H56" s="45">
        <v>1008</v>
      </c>
      <c r="I56" s="45">
        <v>977.76</v>
      </c>
      <c r="J56" s="45">
        <v>1038.24</v>
      </c>
      <c r="L56" s="9" t="s">
        <v>45</v>
      </c>
      <c r="M56" s="9" t="s">
        <v>45</v>
      </c>
      <c r="N56" s="9" t="s">
        <v>45</v>
      </c>
      <c r="O56" s="9" t="s">
        <v>45</v>
      </c>
      <c r="P56" s="9" t="s">
        <v>45</v>
      </c>
      <c r="T56">
        <f>IF($E56="","",COUNTIF($E$2:$E56,$E56))</f>
        <v>23</v>
      </c>
      <c r="U56" t="str">
        <f t="shared" si="0"/>
        <v>CLÁSICAS|23</v>
      </c>
    </row>
    <row r="57" spans="1:21" x14ac:dyDescent="0.25">
      <c r="A57" s="9" t="s">
        <v>116</v>
      </c>
      <c r="B57" s="94">
        <v>46245</v>
      </c>
      <c r="C57" s="9" t="s">
        <v>58</v>
      </c>
      <c r="D57" s="9" t="s">
        <v>40</v>
      </c>
      <c r="E57" s="9" t="s">
        <v>7</v>
      </c>
      <c r="F57" s="47">
        <v>0.33333333333333298</v>
      </c>
      <c r="G57" s="45">
        <v>855</v>
      </c>
      <c r="H57" s="45">
        <v>1008</v>
      </c>
      <c r="I57" s="45">
        <v>977.76</v>
      </c>
      <c r="J57" s="45">
        <v>1038.24</v>
      </c>
      <c r="L57" s="9" t="s">
        <v>45</v>
      </c>
      <c r="M57" s="9" t="s">
        <v>45</v>
      </c>
      <c r="N57" s="9" t="s">
        <v>45</v>
      </c>
      <c r="O57" s="9" t="s">
        <v>45</v>
      </c>
      <c r="P57" s="9" t="s">
        <v>45</v>
      </c>
      <c r="T57">
        <f>IF($E57="","",COUNTIF($E$2:$E57,$E57))</f>
        <v>24</v>
      </c>
      <c r="U57" t="str">
        <f t="shared" si="0"/>
        <v>CLÁSICAS|24</v>
      </c>
    </row>
    <row r="58" spans="1:21" x14ac:dyDescent="0.25">
      <c r="A58" s="9" t="s">
        <v>117</v>
      </c>
      <c r="B58" s="94">
        <v>46245</v>
      </c>
      <c r="C58" s="9" t="s">
        <v>58</v>
      </c>
      <c r="D58" s="9" t="s">
        <v>40</v>
      </c>
      <c r="E58" s="9" t="s">
        <v>60</v>
      </c>
      <c r="F58" s="47">
        <v>0.33333333333333298</v>
      </c>
      <c r="G58" s="45">
        <v>845</v>
      </c>
      <c r="H58" s="45">
        <v>995</v>
      </c>
      <c r="I58" s="45">
        <v>965.15</v>
      </c>
      <c r="J58" s="45">
        <v>1024.8499999999999</v>
      </c>
      <c r="L58" s="9" t="s">
        <v>45</v>
      </c>
      <c r="M58" s="9" t="s">
        <v>45</v>
      </c>
      <c r="N58" s="9" t="s">
        <v>45</v>
      </c>
      <c r="O58" s="9" t="s">
        <v>45</v>
      </c>
      <c r="P58" s="9" t="s">
        <v>45</v>
      </c>
      <c r="T58">
        <f>IF($E58="","",COUNTIF($E$2:$E58,$E58))</f>
        <v>24</v>
      </c>
      <c r="U58" t="str">
        <f t="shared" si="0"/>
        <v>CERVICALES|24</v>
      </c>
    </row>
    <row r="59" spans="1:21" x14ac:dyDescent="0.25">
      <c r="A59" s="9" t="s">
        <v>118</v>
      </c>
      <c r="B59" s="94">
        <v>46245</v>
      </c>
      <c r="C59" s="9" t="s">
        <v>58</v>
      </c>
      <c r="D59" s="9" t="s">
        <v>40</v>
      </c>
      <c r="E59" s="9" t="s">
        <v>60</v>
      </c>
      <c r="F59" s="47">
        <v>0.375</v>
      </c>
      <c r="G59" s="45">
        <v>845</v>
      </c>
      <c r="H59" s="45">
        <v>995</v>
      </c>
      <c r="I59" s="45">
        <v>965.15</v>
      </c>
      <c r="J59" s="45">
        <v>1024.8499999999999</v>
      </c>
      <c r="L59" s="9" t="s">
        <v>45</v>
      </c>
      <c r="M59" s="9" t="s">
        <v>45</v>
      </c>
      <c r="N59" s="9" t="s">
        <v>45</v>
      </c>
      <c r="O59" s="9" t="s">
        <v>45</v>
      </c>
      <c r="P59" s="9" t="s">
        <v>45</v>
      </c>
      <c r="T59">
        <f>IF($E59="","",COUNTIF($E$2:$E59,$E59))</f>
        <v>25</v>
      </c>
      <c r="U59" t="str">
        <f t="shared" si="0"/>
        <v>CERVICALES|25</v>
      </c>
    </row>
    <row r="60" spans="1:21" x14ac:dyDescent="0.25">
      <c r="A60" s="9" t="s">
        <v>119</v>
      </c>
      <c r="B60" s="94">
        <v>46245</v>
      </c>
      <c r="C60" s="9" t="s">
        <v>58</v>
      </c>
      <c r="D60" s="9" t="s">
        <v>40</v>
      </c>
      <c r="E60" s="9" t="s">
        <v>7</v>
      </c>
      <c r="F60" s="47">
        <v>0.375</v>
      </c>
      <c r="G60" s="45">
        <v>855</v>
      </c>
      <c r="H60" s="45">
        <v>1008</v>
      </c>
      <c r="I60" s="45">
        <v>977.76</v>
      </c>
      <c r="J60" s="45">
        <v>1038.24</v>
      </c>
      <c r="L60" s="9" t="s">
        <v>45</v>
      </c>
      <c r="M60" s="9" t="s">
        <v>45</v>
      </c>
      <c r="N60" s="9" t="s">
        <v>45</v>
      </c>
      <c r="O60" s="9" t="s">
        <v>45</v>
      </c>
      <c r="P60" s="9" t="s">
        <v>45</v>
      </c>
      <c r="T60">
        <f>IF($E60="","",COUNTIF($E$2:$E60,$E60))</f>
        <v>25</v>
      </c>
      <c r="U60" t="str">
        <f t="shared" si="0"/>
        <v>CLÁSICAS|25</v>
      </c>
    </row>
    <row r="61" spans="1:21" x14ac:dyDescent="0.25">
      <c r="A61" s="9" t="s">
        <v>120</v>
      </c>
      <c r="B61" s="94">
        <v>46245</v>
      </c>
      <c r="C61" s="9" t="s">
        <v>104</v>
      </c>
      <c r="D61" s="9" t="s">
        <v>40</v>
      </c>
      <c r="E61" s="9" t="s">
        <v>7</v>
      </c>
      <c r="F61" s="47">
        <v>0.41666666666666702</v>
      </c>
      <c r="G61" s="45">
        <v>855</v>
      </c>
      <c r="H61" s="45">
        <v>1008</v>
      </c>
      <c r="I61" s="45">
        <v>977.76</v>
      </c>
      <c r="J61" s="45">
        <v>1038.24</v>
      </c>
      <c r="L61" s="9" t="s">
        <v>45</v>
      </c>
      <c r="M61" s="9" t="s">
        <v>45</v>
      </c>
      <c r="N61" s="9" t="s">
        <v>45</v>
      </c>
      <c r="O61" s="9" t="s">
        <v>45</v>
      </c>
      <c r="P61" s="9" t="s">
        <v>45</v>
      </c>
      <c r="T61">
        <f>IF($E61="","",COUNTIF($E$2:$E61,$E61))</f>
        <v>26</v>
      </c>
      <c r="U61" t="str">
        <f t="shared" si="0"/>
        <v>CLÁSICAS|26</v>
      </c>
    </row>
    <row r="62" spans="1:21" x14ac:dyDescent="0.25">
      <c r="A62" s="9" t="s">
        <v>121</v>
      </c>
      <c r="B62" s="94">
        <v>46245</v>
      </c>
      <c r="C62" s="9" t="s">
        <v>104</v>
      </c>
      <c r="D62" s="9" t="s">
        <v>40</v>
      </c>
      <c r="E62" s="9" t="s">
        <v>60</v>
      </c>
      <c r="F62" s="47">
        <v>0.41666666666666702</v>
      </c>
      <c r="G62" s="45">
        <v>855</v>
      </c>
      <c r="H62" s="45">
        <v>995</v>
      </c>
      <c r="I62" s="45">
        <v>965.15</v>
      </c>
      <c r="J62" s="45">
        <v>1024.8499999999999</v>
      </c>
      <c r="L62" s="9" t="s">
        <v>45</v>
      </c>
      <c r="M62" s="9" t="s">
        <v>45</v>
      </c>
      <c r="N62" s="9" t="s">
        <v>45</v>
      </c>
      <c r="O62" s="9" t="s">
        <v>45</v>
      </c>
      <c r="P62" s="9" t="s">
        <v>45</v>
      </c>
      <c r="T62">
        <f>IF($E62="","",COUNTIF($E$2:$E62,$E62))</f>
        <v>26</v>
      </c>
      <c r="U62" t="str">
        <f t="shared" si="0"/>
        <v>CERVICALES|26</v>
      </c>
    </row>
    <row r="63" spans="1:21" x14ac:dyDescent="0.25">
      <c r="A63" s="9" t="s">
        <v>122</v>
      </c>
      <c r="B63" s="94">
        <v>46245</v>
      </c>
      <c r="C63" s="9" t="s">
        <v>104</v>
      </c>
      <c r="D63" s="9" t="s">
        <v>40</v>
      </c>
      <c r="E63" s="9" t="s">
        <v>60</v>
      </c>
      <c r="F63" s="47">
        <v>0.45833333333333298</v>
      </c>
      <c r="G63" s="45">
        <v>870</v>
      </c>
      <c r="H63" s="45">
        <v>995</v>
      </c>
      <c r="I63" s="45">
        <v>965.15</v>
      </c>
      <c r="J63" s="45">
        <v>1024.8499999999999</v>
      </c>
      <c r="L63" s="9" t="s">
        <v>45</v>
      </c>
      <c r="M63" s="9" t="s">
        <v>45</v>
      </c>
      <c r="N63" s="9" t="s">
        <v>45</v>
      </c>
      <c r="O63" s="9" t="s">
        <v>45</v>
      </c>
      <c r="P63" s="9" t="s">
        <v>45</v>
      </c>
      <c r="T63">
        <f>IF($E63="","",COUNTIF($E$2:$E63,$E63))</f>
        <v>27</v>
      </c>
      <c r="U63" t="str">
        <f t="shared" si="0"/>
        <v>CERVICALES|27</v>
      </c>
    </row>
    <row r="64" spans="1:21" x14ac:dyDescent="0.25">
      <c r="A64" s="9" t="s">
        <v>123</v>
      </c>
      <c r="B64" s="94">
        <v>46245</v>
      </c>
      <c r="C64" s="9" t="s">
        <v>104</v>
      </c>
      <c r="D64" s="9" t="s">
        <v>40</v>
      </c>
      <c r="E64" s="9" t="s">
        <v>7</v>
      </c>
      <c r="F64" s="47">
        <v>0.45833333333333298</v>
      </c>
      <c r="G64" s="45">
        <v>870</v>
      </c>
      <c r="H64" s="45">
        <v>1008</v>
      </c>
      <c r="I64" s="45">
        <v>977.76</v>
      </c>
      <c r="J64" s="45">
        <v>1038.24</v>
      </c>
      <c r="L64" s="9" t="s">
        <v>45</v>
      </c>
      <c r="M64" s="9" t="s">
        <v>45</v>
      </c>
      <c r="N64" s="9" t="s">
        <v>45</v>
      </c>
      <c r="O64" s="9" t="s">
        <v>45</v>
      </c>
      <c r="P64" s="9" t="s">
        <v>45</v>
      </c>
      <c r="T64">
        <f>IF($E64="","",COUNTIF($E$2:$E64,$E64))</f>
        <v>27</v>
      </c>
      <c r="U64" t="str">
        <f t="shared" si="0"/>
        <v>CLÁSICAS|27</v>
      </c>
    </row>
    <row r="65" spans="1:21" x14ac:dyDescent="0.25">
      <c r="A65" s="9" t="s">
        <v>124</v>
      </c>
      <c r="B65" s="94">
        <v>46245</v>
      </c>
      <c r="C65" s="9" t="s">
        <v>104</v>
      </c>
      <c r="D65" s="9" t="s">
        <v>40</v>
      </c>
      <c r="E65" s="9" t="s">
        <v>60</v>
      </c>
      <c r="F65" s="47">
        <v>0.5</v>
      </c>
      <c r="G65" s="45">
        <v>870</v>
      </c>
      <c r="H65" s="45">
        <v>995</v>
      </c>
      <c r="I65" s="45">
        <v>965.15</v>
      </c>
      <c r="J65" s="45">
        <v>1024.8499999999999</v>
      </c>
      <c r="L65" s="9" t="s">
        <v>45</v>
      </c>
      <c r="M65" s="9" t="s">
        <v>45</v>
      </c>
      <c r="N65" s="9" t="s">
        <v>45</v>
      </c>
      <c r="O65" s="9" t="s">
        <v>45</v>
      </c>
      <c r="P65" s="9" t="s">
        <v>45</v>
      </c>
      <c r="T65">
        <f>IF($E65="","",COUNTIF($E$2:$E65,$E65))</f>
        <v>28</v>
      </c>
      <c r="U65" t="str">
        <f t="shared" si="0"/>
        <v>CERVICALES|28</v>
      </c>
    </row>
    <row r="66" spans="1:21" x14ac:dyDescent="0.25">
      <c r="A66" s="9" t="s">
        <v>125</v>
      </c>
      <c r="B66" s="94">
        <v>46245</v>
      </c>
      <c r="C66" s="9" t="s">
        <v>104</v>
      </c>
      <c r="D66" s="9" t="s">
        <v>40</v>
      </c>
      <c r="E66" s="9" t="s">
        <v>7</v>
      </c>
      <c r="F66" s="47">
        <v>0.5</v>
      </c>
      <c r="G66" s="45">
        <v>870</v>
      </c>
      <c r="H66" s="45">
        <v>1008</v>
      </c>
      <c r="I66" s="45">
        <v>977.76</v>
      </c>
      <c r="J66" s="45">
        <v>1038.24</v>
      </c>
      <c r="L66" s="9" t="s">
        <v>45</v>
      </c>
      <c r="M66" s="9" t="s">
        <v>45</v>
      </c>
      <c r="N66" s="9" t="s">
        <v>45</v>
      </c>
      <c r="O66" s="9" t="s">
        <v>45</v>
      </c>
      <c r="P66" s="9" t="s">
        <v>45</v>
      </c>
      <c r="T66">
        <f>IF($E66="","",COUNTIF($E$2:$E66,$E66))</f>
        <v>28</v>
      </c>
      <c r="U66" t="str">
        <f t="shared" ref="U66:U129" si="1">IF($E66="","",$E66&amp;"|"&amp;T66)</f>
        <v>CLÁSICAS|28</v>
      </c>
    </row>
    <row r="67" spans="1:21" x14ac:dyDescent="0.25">
      <c r="A67" s="9" t="s">
        <v>126</v>
      </c>
      <c r="B67" s="94">
        <v>46245</v>
      </c>
      <c r="C67" s="9" t="s">
        <v>104</v>
      </c>
      <c r="D67" s="9" t="s">
        <v>40</v>
      </c>
      <c r="E67" s="9" t="s">
        <v>7</v>
      </c>
      <c r="F67" s="47">
        <v>0.54166666666666696</v>
      </c>
      <c r="G67" s="45">
        <v>870</v>
      </c>
      <c r="H67" s="45">
        <v>1008</v>
      </c>
      <c r="I67" s="45">
        <v>977.76</v>
      </c>
      <c r="J67" s="45">
        <v>1038.24</v>
      </c>
      <c r="L67" s="9" t="s">
        <v>45</v>
      </c>
      <c r="M67" s="9" t="s">
        <v>45</v>
      </c>
      <c r="N67" s="9" t="s">
        <v>45</v>
      </c>
      <c r="O67" s="9" t="s">
        <v>45</v>
      </c>
      <c r="P67" s="9" t="s">
        <v>45</v>
      </c>
      <c r="T67">
        <f>IF($E67="","",COUNTIF($E$2:$E67,$E67))</f>
        <v>29</v>
      </c>
      <c r="U67" t="str">
        <f t="shared" si="1"/>
        <v>CLÁSICAS|29</v>
      </c>
    </row>
    <row r="68" spans="1:21" x14ac:dyDescent="0.25">
      <c r="A68" s="9" t="s">
        <v>127</v>
      </c>
      <c r="B68" s="94">
        <v>46245</v>
      </c>
      <c r="C68" s="9" t="s">
        <v>104</v>
      </c>
      <c r="D68" s="9" t="s">
        <v>40</v>
      </c>
      <c r="E68" s="9" t="s">
        <v>60</v>
      </c>
      <c r="F68" s="47">
        <v>0.54166666666666696</v>
      </c>
      <c r="G68" s="45">
        <v>870</v>
      </c>
      <c r="H68" s="45">
        <v>995</v>
      </c>
      <c r="I68" s="45">
        <v>965.15</v>
      </c>
      <c r="J68" s="45">
        <v>1024.8499999999999</v>
      </c>
      <c r="L68" s="9" t="s">
        <v>45</v>
      </c>
      <c r="M68" s="9" t="s">
        <v>45</v>
      </c>
      <c r="N68" s="9" t="s">
        <v>45</v>
      </c>
      <c r="O68" s="9" t="s">
        <v>45</v>
      </c>
      <c r="P68" s="9" t="s">
        <v>45</v>
      </c>
      <c r="T68">
        <f>IF($E68="","",COUNTIF($E$2:$E68,$E68))</f>
        <v>29</v>
      </c>
      <c r="U68" t="str">
        <f t="shared" si="1"/>
        <v>CERVICALES|29</v>
      </c>
    </row>
    <row r="69" spans="1:21" x14ac:dyDescent="0.25">
      <c r="A69" s="9" t="s">
        <v>128</v>
      </c>
      <c r="B69" s="94">
        <v>46246</v>
      </c>
      <c r="C69" s="9" t="s">
        <v>58</v>
      </c>
      <c r="D69" s="9" t="s">
        <v>40</v>
      </c>
      <c r="E69" s="9" t="s">
        <v>60</v>
      </c>
      <c r="F69" s="47">
        <v>0.25</v>
      </c>
      <c r="G69" s="45">
        <v>890</v>
      </c>
      <c r="H69" s="45">
        <v>995</v>
      </c>
      <c r="I69" s="45">
        <v>965.15</v>
      </c>
      <c r="J69" s="45">
        <v>1024.8499999999999</v>
      </c>
      <c r="L69" s="9" t="s">
        <v>45</v>
      </c>
      <c r="M69" s="9" t="s">
        <v>45</v>
      </c>
      <c r="N69" s="9" t="s">
        <v>45</v>
      </c>
      <c r="O69" s="9" t="s">
        <v>45</v>
      </c>
      <c r="P69" s="9" t="s">
        <v>45</v>
      </c>
      <c r="T69">
        <f>IF($E69="","",COUNTIF($E$2:$E69,$E69))</f>
        <v>30</v>
      </c>
      <c r="U69" t="str">
        <f t="shared" si="1"/>
        <v>CERVICALES|30</v>
      </c>
    </row>
    <row r="70" spans="1:21" x14ac:dyDescent="0.25">
      <c r="A70" s="9" t="s">
        <v>129</v>
      </c>
      <c r="B70" s="94">
        <v>46246</v>
      </c>
      <c r="C70" s="9" t="s">
        <v>58</v>
      </c>
      <c r="D70" s="9" t="s">
        <v>40</v>
      </c>
      <c r="E70" s="9" t="s">
        <v>7</v>
      </c>
      <c r="F70" s="47">
        <v>0.25</v>
      </c>
      <c r="G70" s="45">
        <v>900</v>
      </c>
      <c r="H70" s="45">
        <v>1008</v>
      </c>
      <c r="I70" s="45">
        <v>977.76</v>
      </c>
      <c r="J70" s="45">
        <v>1038.24</v>
      </c>
      <c r="L70" s="9" t="s">
        <v>45</v>
      </c>
      <c r="M70" s="9" t="s">
        <v>45</v>
      </c>
      <c r="N70" s="9" t="s">
        <v>45</v>
      </c>
      <c r="O70" s="9" t="s">
        <v>45</v>
      </c>
      <c r="P70" s="9" t="s">
        <v>45</v>
      </c>
      <c r="T70">
        <f>IF($E70="","",COUNTIF($E$2:$E70,$E70))</f>
        <v>30</v>
      </c>
      <c r="U70" t="str">
        <f t="shared" si="1"/>
        <v>CLÁSICAS|30</v>
      </c>
    </row>
    <row r="71" spans="1:21" x14ac:dyDescent="0.25">
      <c r="A71" s="9" t="s">
        <v>130</v>
      </c>
      <c r="B71" s="94">
        <v>46246</v>
      </c>
      <c r="C71" s="9" t="s">
        <v>58</v>
      </c>
      <c r="D71" s="9" t="s">
        <v>40</v>
      </c>
      <c r="E71" s="9" t="s">
        <v>62</v>
      </c>
      <c r="F71" s="47">
        <v>0.25</v>
      </c>
      <c r="G71" s="45">
        <v>900</v>
      </c>
      <c r="H71" s="45">
        <v>985</v>
      </c>
      <c r="I71" s="45">
        <v>955.45</v>
      </c>
      <c r="J71" s="45">
        <v>1014.55</v>
      </c>
      <c r="L71" s="9" t="s">
        <v>45</v>
      </c>
      <c r="M71" s="9" t="s">
        <v>45</v>
      </c>
      <c r="N71" s="9" t="s">
        <v>45</v>
      </c>
      <c r="O71" s="9" t="s">
        <v>45</v>
      </c>
      <c r="P71" s="9" t="s">
        <v>45</v>
      </c>
      <c r="T71">
        <f>IF($E71="","",COUNTIF($E$2:$E71,$E71))</f>
        <v>10</v>
      </c>
      <c r="U71" t="str">
        <f t="shared" si="1"/>
        <v>THERMOSENSE|10</v>
      </c>
    </row>
    <row r="72" spans="1:21" x14ac:dyDescent="0.25">
      <c r="A72" s="9" t="s">
        <v>131</v>
      </c>
      <c r="B72" s="94">
        <v>46246</v>
      </c>
      <c r="C72" s="9" t="s">
        <v>58</v>
      </c>
      <c r="D72" s="9" t="s">
        <v>40</v>
      </c>
      <c r="E72" s="9" t="s">
        <v>62</v>
      </c>
      <c r="F72" s="47">
        <v>0.29166666666666702</v>
      </c>
      <c r="G72" s="45">
        <v>900</v>
      </c>
      <c r="H72" s="45">
        <v>985</v>
      </c>
      <c r="I72" s="45">
        <v>955.45</v>
      </c>
      <c r="J72" s="45">
        <v>1014.55</v>
      </c>
      <c r="L72" s="9" t="s">
        <v>45</v>
      </c>
      <c r="M72" s="9" t="s">
        <v>45</v>
      </c>
      <c r="N72" s="9" t="s">
        <v>45</v>
      </c>
      <c r="O72" s="9" t="s">
        <v>45</v>
      </c>
      <c r="P72" s="9" t="s">
        <v>45</v>
      </c>
      <c r="T72">
        <f>IF($E72="","",COUNTIF($E$2:$E72,$E72))</f>
        <v>11</v>
      </c>
      <c r="U72" t="str">
        <f t="shared" si="1"/>
        <v>THERMOSENSE|11</v>
      </c>
    </row>
    <row r="73" spans="1:21" x14ac:dyDescent="0.25">
      <c r="A73" s="9" t="s">
        <v>132</v>
      </c>
      <c r="B73" s="94">
        <v>46246</v>
      </c>
      <c r="C73" s="9" t="s">
        <v>58</v>
      </c>
      <c r="D73" s="9" t="s">
        <v>40</v>
      </c>
      <c r="E73" s="9" t="s">
        <v>7</v>
      </c>
      <c r="F73" s="47">
        <v>0.29166666666666702</v>
      </c>
      <c r="G73" s="45">
        <v>900</v>
      </c>
      <c r="H73" s="45">
        <v>1008</v>
      </c>
      <c r="I73" s="45">
        <v>977.76</v>
      </c>
      <c r="J73" s="45">
        <v>1038.24</v>
      </c>
      <c r="L73" s="9" t="s">
        <v>45</v>
      </c>
      <c r="M73" s="9" t="s">
        <v>45</v>
      </c>
      <c r="N73" s="9" t="s">
        <v>45</v>
      </c>
      <c r="O73" s="9" t="s">
        <v>45</v>
      </c>
      <c r="P73" s="9" t="s">
        <v>45</v>
      </c>
      <c r="T73">
        <f>IF($E73="","",COUNTIF($E$2:$E73,$E73))</f>
        <v>31</v>
      </c>
      <c r="U73" t="str">
        <f t="shared" si="1"/>
        <v>CLÁSICAS|31</v>
      </c>
    </row>
    <row r="74" spans="1:21" x14ac:dyDescent="0.25">
      <c r="A74" s="9" t="s">
        <v>133</v>
      </c>
      <c r="B74" s="94">
        <v>46246</v>
      </c>
      <c r="C74" s="9" t="s">
        <v>58</v>
      </c>
      <c r="D74" s="9" t="s">
        <v>40</v>
      </c>
      <c r="E74" s="9" t="s">
        <v>60</v>
      </c>
      <c r="F74" s="47">
        <v>0.29166666666666702</v>
      </c>
      <c r="G74" s="45">
        <v>880</v>
      </c>
      <c r="H74" s="45">
        <v>995</v>
      </c>
      <c r="I74" s="45">
        <v>965.15</v>
      </c>
      <c r="J74" s="45">
        <v>1024.8499999999999</v>
      </c>
      <c r="L74" s="9" t="s">
        <v>45</v>
      </c>
      <c r="M74" s="9" t="s">
        <v>45</v>
      </c>
      <c r="N74" s="9" t="s">
        <v>45</v>
      </c>
      <c r="O74" s="9" t="s">
        <v>45</v>
      </c>
      <c r="P74" s="9" t="s">
        <v>45</v>
      </c>
      <c r="T74">
        <f>IF($E74="","",COUNTIF($E$2:$E74,$E74))</f>
        <v>31</v>
      </c>
      <c r="U74" t="str">
        <f t="shared" si="1"/>
        <v>CERVICALES|31</v>
      </c>
    </row>
    <row r="75" spans="1:21" x14ac:dyDescent="0.25">
      <c r="A75" s="9" t="s">
        <v>134</v>
      </c>
      <c r="B75" s="94">
        <v>46246</v>
      </c>
      <c r="C75" s="9" t="s">
        <v>58</v>
      </c>
      <c r="D75" s="9" t="s">
        <v>40</v>
      </c>
      <c r="E75" s="9" t="s">
        <v>60</v>
      </c>
      <c r="F75" s="47">
        <v>0.33333333333333298</v>
      </c>
      <c r="G75" s="45">
        <v>880</v>
      </c>
      <c r="H75" s="45">
        <v>995</v>
      </c>
      <c r="I75" s="45">
        <v>965.15</v>
      </c>
      <c r="J75" s="45">
        <v>1024.8499999999999</v>
      </c>
      <c r="L75" s="9" t="s">
        <v>45</v>
      </c>
      <c r="M75" s="9" t="s">
        <v>45</v>
      </c>
      <c r="N75" s="9" t="s">
        <v>45</v>
      </c>
      <c r="O75" s="9" t="s">
        <v>45</v>
      </c>
      <c r="P75" s="9" t="s">
        <v>45</v>
      </c>
      <c r="T75">
        <f>IF($E75="","",COUNTIF($E$2:$E75,$E75))</f>
        <v>32</v>
      </c>
      <c r="U75" t="str">
        <f t="shared" si="1"/>
        <v>CERVICALES|32</v>
      </c>
    </row>
    <row r="76" spans="1:21" x14ac:dyDescent="0.25">
      <c r="A76" s="9" t="s">
        <v>135</v>
      </c>
      <c r="B76" s="94">
        <v>46246</v>
      </c>
      <c r="C76" s="9" t="s">
        <v>58</v>
      </c>
      <c r="D76" s="9" t="s">
        <v>40</v>
      </c>
      <c r="E76" s="9" t="s">
        <v>7</v>
      </c>
      <c r="F76" s="47">
        <v>0.33333333333333298</v>
      </c>
      <c r="G76" s="45">
        <v>900</v>
      </c>
      <c r="H76" s="45">
        <v>1008</v>
      </c>
      <c r="I76" s="45">
        <v>977.76</v>
      </c>
      <c r="J76" s="45">
        <v>1038.24</v>
      </c>
      <c r="L76" s="9" t="s">
        <v>45</v>
      </c>
      <c r="M76" s="9" t="s">
        <v>45</v>
      </c>
      <c r="N76" s="9" t="s">
        <v>45</v>
      </c>
      <c r="O76" s="9" t="s">
        <v>45</v>
      </c>
      <c r="P76" s="9" t="s">
        <v>45</v>
      </c>
      <c r="T76">
        <f>IF($E76="","",COUNTIF($E$2:$E76,$E76))</f>
        <v>32</v>
      </c>
      <c r="U76" t="str">
        <f t="shared" si="1"/>
        <v>CLÁSICAS|32</v>
      </c>
    </row>
    <row r="77" spans="1:21" x14ac:dyDescent="0.25">
      <c r="A77" s="9" t="s">
        <v>136</v>
      </c>
      <c r="B77" s="94">
        <v>46246</v>
      </c>
      <c r="C77" s="9" t="s">
        <v>58</v>
      </c>
      <c r="D77" s="9" t="s">
        <v>40</v>
      </c>
      <c r="E77" s="9" t="s">
        <v>62</v>
      </c>
      <c r="F77" s="47">
        <v>0.33333333333333298</v>
      </c>
      <c r="G77" s="45">
        <v>900</v>
      </c>
      <c r="H77" s="45">
        <v>985</v>
      </c>
      <c r="I77" s="45">
        <v>955.45</v>
      </c>
      <c r="J77" s="45">
        <v>1014.55</v>
      </c>
      <c r="L77" s="9" t="s">
        <v>45</v>
      </c>
      <c r="M77" s="9" t="s">
        <v>45</v>
      </c>
      <c r="N77" s="9" t="s">
        <v>45</v>
      </c>
      <c r="O77" s="9" t="s">
        <v>45</v>
      </c>
      <c r="P77" s="9" t="s">
        <v>45</v>
      </c>
      <c r="T77">
        <f>IF($E77="","",COUNTIF($E$2:$E77,$E77))</f>
        <v>12</v>
      </c>
      <c r="U77" t="str">
        <f t="shared" si="1"/>
        <v>THERMOSENSE|12</v>
      </c>
    </row>
    <row r="78" spans="1:21" x14ac:dyDescent="0.25">
      <c r="A78" s="9" t="s">
        <v>137</v>
      </c>
      <c r="B78" s="94">
        <v>46246</v>
      </c>
      <c r="C78" s="9" t="s">
        <v>58</v>
      </c>
      <c r="D78" s="9" t="s">
        <v>40</v>
      </c>
      <c r="E78" s="9" t="s">
        <v>62</v>
      </c>
      <c r="F78" s="47">
        <v>0.375</v>
      </c>
      <c r="G78" s="45">
        <v>900</v>
      </c>
      <c r="H78" s="45">
        <v>985</v>
      </c>
      <c r="I78" s="45">
        <v>955.45</v>
      </c>
      <c r="J78" s="45">
        <v>1014.55</v>
      </c>
      <c r="L78" s="9" t="s">
        <v>45</v>
      </c>
      <c r="M78" s="9" t="s">
        <v>45</v>
      </c>
      <c r="N78" s="9" t="s">
        <v>45</v>
      </c>
      <c r="O78" s="9" t="s">
        <v>45</v>
      </c>
      <c r="P78" s="9" t="s">
        <v>45</v>
      </c>
      <c r="T78">
        <f>IF($E78="","",COUNTIF($E$2:$E78,$E78))</f>
        <v>13</v>
      </c>
      <c r="U78" t="str">
        <f t="shared" si="1"/>
        <v>THERMOSENSE|13</v>
      </c>
    </row>
    <row r="79" spans="1:21" x14ac:dyDescent="0.25">
      <c r="A79" s="9" t="s">
        <v>138</v>
      </c>
      <c r="B79" s="94">
        <v>46246</v>
      </c>
      <c r="C79" s="9" t="s">
        <v>58</v>
      </c>
      <c r="D79" s="9" t="s">
        <v>40</v>
      </c>
      <c r="E79" s="9" t="s">
        <v>7</v>
      </c>
      <c r="F79" s="47">
        <v>0.375</v>
      </c>
      <c r="G79" s="45">
        <v>900</v>
      </c>
      <c r="H79" s="45">
        <v>1008</v>
      </c>
      <c r="I79" s="45">
        <v>977.76</v>
      </c>
      <c r="J79" s="45">
        <v>1038.24</v>
      </c>
      <c r="L79" s="9" t="s">
        <v>45</v>
      </c>
      <c r="M79" s="9" t="s">
        <v>45</v>
      </c>
      <c r="N79" s="9" t="s">
        <v>45</v>
      </c>
      <c r="O79" s="9" t="s">
        <v>45</v>
      </c>
      <c r="P79" s="9" t="s">
        <v>45</v>
      </c>
      <c r="T79">
        <f>IF($E79="","",COUNTIF($E$2:$E79,$E79))</f>
        <v>33</v>
      </c>
      <c r="U79" t="str">
        <f t="shared" si="1"/>
        <v>CLÁSICAS|33</v>
      </c>
    </row>
    <row r="80" spans="1:21" x14ac:dyDescent="0.25">
      <c r="A80" s="9" t="s">
        <v>139</v>
      </c>
      <c r="B80" s="94">
        <v>46246</v>
      </c>
      <c r="C80" s="9" t="s">
        <v>58</v>
      </c>
      <c r="D80" s="9" t="s">
        <v>40</v>
      </c>
      <c r="E80" s="9" t="s">
        <v>60</v>
      </c>
      <c r="F80" s="47">
        <v>0.375</v>
      </c>
      <c r="G80" s="45">
        <v>885</v>
      </c>
      <c r="H80" s="45">
        <v>995</v>
      </c>
      <c r="I80" s="45">
        <v>965.15</v>
      </c>
      <c r="J80" s="45">
        <v>1024.8499999999999</v>
      </c>
      <c r="L80" s="9" t="s">
        <v>45</v>
      </c>
      <c r="M80" s="9" t="s">
        <v>45</v>
      </c>
      <c r="N80" s="9" t="s">
        <v>45</v>
      </c>
      <c r="O80" s="9" t="s">
        <v>45</v>
      </c>
      <c r="P80" s="9" t="s">
        <v>45</v>
      </c>
      <c r="T80">
        <f>IF($E80="","",COUNTIF($E$2:$E80,$E80))</f>
        <v>33</v>
      </c>
      <c r="U80" t="str">
        <f t="shared" si="1"/>
        <v>CERVICALES|33</v>
      </c>
    </row>
    <row r="81" spans="1:21" x14ac:dyDescent="0.25">
      <c r="A81" s="9" t="s">
        <v>140</v>
      </c>
      <c r="B81" s="94">
        <v>46246</v>
      </c>
      <c r="C81" s="9" t="s">
        <v>104</v>
      </c>
      <c r="D81" s="9" t="s">
        <v>40</v>
      </c>
      <c r="E81" s="9" t="s">
        <v>60</v>
      </c>
      <c r="F81" s="47">
        <v>0.41666666666666702</v>
      </c>
      <c r="G81" s="45">
        <v>885</v>
      </c>
      <c r="H81" s="45">
        <v>995</v>
      </c>
      <c r="I81" s="45">
        <v>965.15</v>
      </c>
      <c r="J81" s="45">
        <v>1024.8499999999999</v>
      </c>
      <c r="L81" s="9" t="s">
        <v>45</v>
      </c>
      <c r="M81" s="9" t="s">
        <v>45</v>
      </c>
      <c r="N81" s="9" t="s">
        <v>45</v>
      </c>
      <c r="O81" s="9" t="s">
        <v>45</v>
      </c>
      <c r="P81" s="9" t="s">
        <v>45</v>
      </c>
      <c r="T81">
        <f>IF($E81="","",COUNTIF($E$2:$E81,$E81))</f>
        <v>34</v>
      </c>
      <c r="U81" t="str">
        <f t="shared" si="1"/>
        <v>CERVICALES|34</v>
      </c>
    </row>
    <row r="82" spans="1:21" x14ac:dyDescent="0.25">
      <c r="A82" s="9" t="s">
        <v>141</v>
      </c>
      <c r="B82" s="94">
        <v>46246</v>
      </c>
      <c r="C82" s="9" t="s">
        <v>104</v>
      </c>
      <c r="D82" s="9" t="s">
        <v>40</v>
      </c>
      <c r="E82" s="9" t="s">
        <v>7</v>
      </c>
      <c r="F82" s="47">
        <v>0.41666666666666702</v>
      </c>
      <c r="G82" s="45">
        <v>880</v>
      </c>
      <c r="H82" s="45">
        <v>1008</v>
      </c>
      <c r="I82" s="45">
        <v>977.76</v>
      </c>
      <c r="J82" s="45">
        <v>1038.24</v>
      </c>
      <c r="L82" s="9" t="s">
        <v>45</v>
      </c>
      <c r="M82" s="9" t="s">
        <v>45</v>
      </c>
      <c r="N82" s="9" t="s">
        <v>45</v>
      </c>
      <c r="O82" s="9" t="s">
        <v>45</v>
      </c>
      <c r="P82" s="9" t="s">
        <v>45</v>
      </c>
      <c r="T82">
        <f>IF($E82="","",COUNTIF($E$2:$E82,$E82))</f>
        <v>34</v>
      </c>
      <c r="U82" t="str">
        <f t="shared" si="1"/>
        <v>CLÁSICAS|34</v>
      </c>
    </row>
    <row r="83" spans="1:21" x14ac:dyDescent="0.25">
      <c r="A83" s="9" t="s">
        <v>142</v>
      </c>
      <c r="B83" s="94">
        <v>46246</v>
      </c>
      <c r="C83" s="9" t="s">
        <v>104</v>
      </c>
      <c r="D83" s="9" t="s">
        <v>40</v>
      </c>
      <c r="E83" s="9" t="s">
        <v>62</v>
      </c>
      <c r="F83" s="47">
        <v>0.41666666666666702</v>
      </c>
      <c r="G83" s="45">
        <v>880</v>
      </c>
      <c r="H83" s="45">
        <v>985</v>
      </c>
      <c r="I83" s="45">
        <v>955.45</v>
      </c>
      <c r="J83" s="45">
        <v>1014.55</v>
      </c>
      <c r="L83" s="9" t="s">
        <v>45</v>
      </c>
      <c r="M83" s="9" t="s">
        <v>45</v>
      </c>
      <c r="N83" s="9" t="s">
        <v>45</v>
      </c>
      <c r="O83" s="9" t="s">
        <v>45</v>
      </c>
      <c r="P83" s="9" t="s">
        <v>45</v>
      </c>
      <c r="T83">
        <f>IF($E83="","",COUNTIF($E$2:$E83,$E83))</f>
        <v>14</v>
      </c>
      <c r="U83" t="str">
        <f t="shared" si="1"/>
        <v>THERMOSENSE|14</v>
      </c>
    </row>
    <row r="84" spans="1:21" x14ac:dyDescent="0.25">
      <c r="A84" s="9" t="s">
        <v>143</v>
      </c>
      <c r="B84" s="94">
        <v>46246</v>
      </c>
      <c r="C84" s="9" t="s">
        <v>104</v>
      </c>
      <c r="D84" s="9" t="s">
        <v>40</v>
      </c>
      <c r="E84" s="9" t="s">
        <v>62</v>
      </c>
      <c r="F84" s="47">
        <v>0.45833333333333298</v>
      </c>
      <c r="G84" s="45">
        <v>880</v>
      </c>
      <c r="H84" s="45">
        <v>985</v>
      </c>
      <c r="I84" s="45">
        <v>955.45</v>
      </c>
      <c r="J84" s="45">
        <v>1014.55</v>
      </c>
      <c r="L84" s="9" t="s">
        <v>45</v>
      </c>
      <c r="M84" s="9" t="s">
        <v>45</v>
      </c>
      <c r="N84" s="9" t="s">
        <v>45</v>
      </c>
      <c r="O84" s="9" t="s">
        <v>45</v>
      </c>
      <c r="P84" s="9" t="s">
        <v>45</v>
      </c>
      <c r="T84">
        <f>IF($E84="","",COUNTIF($E$2:$E84,$E84))</f>
        <v>15</v>
      </c>
      <c r="U84" t="str">
        <f t="shared" si="1"/>
        <v>THERMOSENSE|15</v>
      </c>
    </row>
    <row r="85" spans="1:21" x14ac:dyDescent="0.25">
      <c r="A85" s="9" t="s">
        <v>144</v>
      </c>
      <c r="B85" s="94">
        <v>46246</v>
      </c>
      <c r="C85" s="9" t="s">
        <v>104</v>
      </c>
      <c r="D85" s="9" t="s">
        <v>40</v>
      </c>
      <c r="E85" s="9" t="s">
        <v>60</v>
      </c>
      <c r="F85" s="47">
        <v>0.45833333333333298</v>
      </c>
      <c r="G85" s="45">
        <v>885</v>
      </c>
      <c r="H85" s="45">
        <v>995</v>
      </c>
      <c r="I85" s="45">
        <v>965.15</v>
      </c>
      <c r="J85" s="45">
        <v>1024.8499999999999</v>
      </c>
      <c r="L85" s="9" t="s">
        <v>45</v>
      </c>
      <c r="M85" s="9" t="s">
        <v>45</v>
      </c>
      <c r="N85" s="9" t="s">
        <v>45</v>
      </c>
      <c r="O85" s="9" t="s">
        <v>45</v>
      </c>
      <c r="P85" s="9" t="s">
        <v>45</v>
      </c>
      <c r="T85">
        <f>IF($E85="","",COUNTIF($E$2:$E85,$E85))</f>
        <v>35</v>
      </c>
      <c r="U85" t="str">
        <f t="shared" si="1"/>
        <v>CERVICALES|35</v>
      </c>
    </row>
    <row r="86" spans="1:21" x14ac:dyDescent="0.25">
      <c r="A86" s="9" t="s">
        <v>145</v>
      </c>
      <c r="B86" s="94">
        <v>46246</v>
      </c>
      <c r="C86" s="9" t="s">
        <v>104</v>
      </c>
      <c r="D86" s="9" t="s">
        <v>40</v>
      </c>
      <c r="E86" s="9" t="s">
        <v>7</v>
      </c>
      <c r="F86" s="47">
        <v>0.45833333333333298</v>
      </c>
      <c r="G86" s="45">
        <v>885</v>
      </c>
      <c r="H86" s="45">
        <v>1008</v>
      </c>
      <c r="I86" s="45">
        <v>977.76</v>
      </c>
      <c r="J86" s="45">
        <v>1038.24</v>
      </c>
      <c r="L86" s="9" t="s">
        <v>45</v>
      </c>
      <c r="M86" s="9" t="s">
        <v>45</v>
      </c>
      <c r="N86" s="9" t="s">
        <v>45</v>
      </c>
      <c r="O86" s="9" t="s">
        <v>45</v>
      </c>
      <c r="P86" s="9" t="s">
        <v>45</v>
      </c>
      <c r="T86">
        <f>IF($E86="","",COUNTIF($E$2:$E86,$E86))</f>
        <v>35</v>
      </c>
      <c r="U86" t="str">
        <f t="shared" si="1"/>
        <v>CLÁSICAS|35</v>
      </c>
    </row>
    <row r="87" spans="1:21" x14ac:dyDescent="0.25">
      <c r="A87" s="9" t="s">
        <v>146</v>
      </c>
      <c r="B87" s="94">
        <v>46246</v>
      </c>
      <c r="C87" s="9" t="s">
        <v>104</v>
      </c>
      <c r="D87" s="9" t="s">
        <v>40</v>
      </c>
      <c r="E87" s="9" t="s">
        <v>7</v>
      </c>
      <c r="F87" s="47">
        <v>0.5</v>
      </c>
      <c r="G87" s="45">
        <v>890</v>
      </c>
      <c r="H87" s="45">
        <v>1008</v>
      </c>
      <c r="I87" s="45">
        <v>977.76</v>
      </c>
      <c r="J87" s="45">
        <v>1038.24</v>
      </c>
      <c r="L87" s="9" t="s">
        <v>45</v>
      </c>
      <c r="M87" s="9" t="s">
        <v>45</v>
      </c>
      <c r="N87" s="9" t="s">
        <v>45</v>
      </c>
      <c r="O87" s="9" t="s">
        <v>45</v>
      </c>
      <c r="P87" s="9" t="s">
        <v>45</v>
      </c>
      <c r="T87">
        <f>IF($E87="","",COUNTIF($E$2:$E87,$E87))</f>
        <v>36</v>
      </c>
      <c r="U87" t="str">
        <f t="shared" si="1"/>
        <v>CLÁSICAS|36</v>
      </c>
    </row>
    <row r="88" spans="1:21" x14ac:dyDescent="0.25">
      <c r="A88" s="9" t="s">
        <v>147</v>
      </c>
      <c r="B88" s="94">
        <v>46246</v>
      </c>
      <c r="C88" s="9" t="s">
        <v>104</v>
      </c>
      <c r="D88" s="9" t="s">
        <v>40</v>
      </c>
      <c r="E88" s="9" t="s">
        <v>60</v>
      </c>
      <c r="F88" s="47">
        <v>0.5</v>
      </c>
      <c r="G88" s="45">
        <v>890</v>
      </c>
      <c r="H88" s="45">
        <v>995</v>
      </c>
      <c r="I88" s="45">
        <v>965.15</v>
      </c>
      <c r="J88" s="45">
        <v>1024.8499999999999</v>
      </c>
      <c r="L88" s="9" t="s">
        <v>45</v>
      </c>
      <c r="M88" s="9" t="s">
        <v>45</v>
      </c>
      <c r="N88" s="9" t="s">
        <v>45</v>
      </c>
      <c r="O88" s="9" t="s">
        <v>45</v>
      </c>
      <c r="P88" s="9" t="s">
        <v>45</v>
      </c>
      <c r="T88">
        <f>IF($E88="","",COUNTIF($E$2:$E88,$E88))</f>
        <v>36</v>
      </c>
      <c r="U88" t="str">
        <f t="shared" si="1"/>
        <v>CERVICALES|36</v>
      </c>
    </row>
    <row r="89" spans="1:21" x14ac:dyDescent="0.25">
      <c r="A89" s="9" t="s">
        <v>148</v>
      </c>
      <c r="B89" s="94">
        <v>46246</v>
      </c>
      <c r="C89" s="9" t="s">
        <v>104</v>
      </c>
      <c r="D89" s="9" t="s">
        <v>40</v>
      </c>
      <c r="E89" s="9" t="s">
        <v>62</v>
      </c>
      <c r="F89" s="47">
        <v>0.5</v>
      </c>
      <c r="G89" s="45">
        <v>890</v>
      </c>
      <c r="H89" s="45">
        <v>985</v>
      </c>
      <c r="I89" s="45">
        <v>955.45</v>
      </c>
      <c r="J89" s="45">
        <v>1014.55</v>
      </c>
      <c r="L89" s="9" t="s">
        <v>45</v>
      </c>
      <c r="M89" s="9" t="s">
        <v>45</v>
      </c>
      <c r="N89" s="9" t="s">
        <v>45</v>
      </c>
      <c r="O89" s="9" t="s">
        <v>45</v>
      </c>
      <c r="P89" s="9" t="s">
        <v>45</v>
      </c>
      <c r="T89">
        <f>IF($E89="","",COUNTIF($E$2:$E89,$E89))</f>
        <v>16</v>
      </c>
      <c r="U89" t="str">
        <f t="shared" si="1"/>
        <v>THERMOSENSE|16</v>
      </c>
    </row>
    <row r="90" spans="1:21" x14ac:dyDescent="0.25">
      <c r="A90" s="9" t="s">
        <v>149</v>
      </c>
      <c r="B90" s="94">
        <v>46246</v>
      </c>
      <c r="C90" s="9" t="s">
        <v>104</v>
      </c>
      <c r="D90" s="9" t="s">
        <v>40</v>
      </c>
      <c r="E90" s="9" t="s">
        <v>62</v>
      </c>
      <c r="F90" s="47">
        <v>0.54166666666666696</v>
      </c>
      <c r="G90" s="45">
        <v>890</v>
      </c>
      <c r="H90" s="45">
        <v>985</v>
      </c>
      <c r="I90" s="45">
        <v>955.45</v>
      </c>
      <c r="J90" s="45">
        <v>1014.55</v>
      </c>
      <c r="L90" s="9" t="s">
        <v>45</v>
      </c>
      <c r="M90" s="9" t="s">
        <v>45</v>
      </c>
      <c r="N90" s="9" t="s">
        <v>45</v>
      </c>
      <c r="O90" s="9" t="s">
        <v>45</v>
      </c>
      <c r="P90" s="9" t="s">
        <v>45</v>
      </c>
      <c r="T90">
        <f>IF($E90="","",COUNTIF($E$2:$E90,$E90))</f>
        <v>17</v>
      </c>
      <c r="U90" t="str">
        <f t="shared" si="1"/>
        <v>THERMOSENSE|17</v>
      </c>
    </row>
    <row r="91" spans="1:21" x14ac:dyDescent="0.25">
      <c r="A91" s="9" t="s">
        <v>150</v>
      </c>
      <c r="B91" s="94">
        <v>46246</v>
      </c>
      <c r="C91" s="9" t="s">
        <v>104</v>
      </c>
      <c r="D91" s="9" t="s">
        <v>40</v>
      </c>
      <c r="E91" s="9" t="s">
        <v>60</v>
      </c>
      <c r="F91" s="47">
        <v>0.54166666666666696</v>
      </c>
      <c r="G91" s="45">
        <v>890</v>
      </c>
      <c r="H91" s="45">
        <v>995</v>
      </c>
      <c r="I91" s="45">
        <v>965.15</v>
      </c>
      <c r="J91" s="45">
        <v>1024.8499999999999</v>
      </c>
      <c r="L91" s="9" t="s">
        <v>45</v>
      </c>
      <c r="M91" s="9" t="s">
        <v>45</v>
      </c>
      <c r="N91" s="9" t="s">
        <v>45</v>
      </c>
      <c r="O91" s="9" t="s">
        <v>45</v>
      </c>
      <c r="P91" s="9" t="s">
        <v>45</v>
      </c>
      <c r="T91">
        <f>IF($E91="","",COUNTIF($E$2:$E91,$E91))</f>
        <v>37</v>
      </c>
      <c r="U91" t="str">
        <f t="shared" si="1"/>
        <v>CERVICALES|37</v>
      </c>
    </row>
    <row r="92" spans="1:21" x14ac:dyDescent="0.25">
      <c r="A92" s="9" t="s">
        <v>151</v>
      </c>
      <c r="B92" s="94">
        <v>46246</v>
      </c>
      <c r="C92" s="9" t="s">
        <v>104</v>
      </c>
      <c r="D92" s="9" t="s">
        <v>40</v>
      </c>
      <c r="E92" s="9" t="s">
        <v>7</v>
      </c>
      <c r="F92" s="47">
        <v>0.54166666666666696</v>
      </c>
      <c r="G92" s="45">
        <v>890</v>
      </c>
      <c r="H92" s="45">
        <v>1008</v>
      </c>
      <c r="I92" s="45">
        <v>977.76</v>
      </c>
      <c r="J92" s="45">
        <v>1038.24</v>
      </c>
      <c r="L92" s="9" t="s">
        <v>45</v>
      </c>
      <c r="M92" s="9" t="s">
        <v>45</v>
      </c>
      <c r="N92" s="9" t="s">
        <v>45</v>
      </c>
      <c r="O92" s="9" t="s">
        <v>45</v>
      </c>
      <c r="P92" s="9" t="s">
        <v>45</v>
      </c>
      <c r="T92">
        <f>IF($E92="","",COUNTIF($E$2:$E92,$E92))</f>
        <v>37</v>
      </c>
      <c r="U92" t="str">
        <f t="shared" si="1"/>
        <v>CLÁSICAS|37</v>
      </c>
    </row>
    <row r="93" spans="1:21" x14ac:dyDescent="0.25">
      <c r="A93" s="9" t="s">
        <v>152</v>
      </c>
      <c r="B93" s="94">
        <v>46247</v>
      </c>
      <c r="C93" s="9" t="s">
        <v>104</v>
      </c>
      <c r="D93" s="9" t="s">
        <v>40</v>
      </c>
      <c r="E93" s="9" t="s">
        <v>7</v>
      </c>
      <c r="F93" s="47">
        <v>0.25</v>
      </c>
      <c r="G93" s="45">
        <v>890</v>
      </c>
      <c r="H93" s="45">
        <v>1008</v>
      </c>
      <c r="I93" s="45">
        <v>977.76</v>
      </c>
      <c r="J93" s="45">
        <v>1038.24</v>
      </c>
      <c r="L93" s="9" t="s">
        <v>45</v>
      </c>
      <c r="M93" s="9" t="s">
        <v>45</v>
      </c>
      <c r="N93" s="9" t="s">
        <v>45</v>
      </c>
      <c r="O93" s="9" t="s">
        <v>45</v>
      </c>
      <c r="P93" s="9" t="s">
        <v>45</v>
      </c>
      <c r="T93">
        <f>IF($E93="","",COUNTIF($E$2:$E93,$E93))</f>
        <v>38</v>
      </c>
      <c r="U93" t="str">
        <f t="shared" si="1"/>
        <v>CLÁSICAS|38</v>
      </c>
    </row>
    <row r="94" spans="1:21" x14ac:dyDescent="0.25">
      <c r="A94" s="9" t="s">
        <v>153</v>
      </c>
      <c r="B94" s="94">
        <v>46247</v>
      </c>
      <c r="C94" s="9" t="s">
        <v>104</v>
      </c>
      <c r="D94" s="9" t="s">
        <v>40</v>
      </c>
      <c r="E94" s="9" t="s">
        <v>62</v>
      </c>
      <c r="F94" s="47">
        <v>0.25</v>
      </c>
      <c r="G94" s="45">
        <v>890</v>
      </c>
      <c r="H94" s="45">
        <v>985</v>
      </c>
      <c r="I94" s="45">
        <v>955.45</v>
      </c>
      <c r="J94" s="45">
        <v>1014.55</v>
      </c>
      <c r="L94" s="9" t="s">
        <v>45</v>
      </c>
      <c r="M94" s="9" t="s">
        <v>45</v>
      </c>
      <c r="N94" s="9" t="s">
        <v>45</v>
      </c>
      <c r="O94" s="9" t="s">
        <v>45</v>
      </c>
      <c r="P94" s="9" t="s">
        <v>45</v>
      </c>
      <c r="T94">
        <f>IF($E94="","",COUNTIF($E$2:$E94,$E94))</f>
        <v>18</v>
      </c>
      <c r="U94" t="str">
        <f t="shared" si="1"/>
        <v>THERMOSENSE|18</v>
      </c>
    </row>
    <row r="95" spans="1:21" x14ac:dyDescent="0.25">
      <c r="A95" s="9" t="s">
        <v>154</v>
      </c>
      <c r="B95" s="94">
        <v>46247</v>
      </c>
      <c r="C95" s="9" t="s">
        <v>104</v>
      </c>
      <c r="D95" s="9" t="s">
        <v>40</v>
      </c>
      <c r="E95" s="9" t="s">
        <v>62</v>
      </c>
      <c r="F95" s="47">
        <v>0.29166666666666702</v>
      </c>
      <c r="G95" s="45">
        <v>890</v>
      </c>
      <c r="H95" s="45">
        <v>985</v>
      </c>
      <c r="I95" s="45">
        <v>955.45</v>
      </c>
      <c r="J95" s="45">
        <v>1014.55</v>
      </c>
      <c r="L95" s="9" t="s">
        <v>45</v>
      </c>
      <c r="M95" s="9" t="s">
        <v>45</v>
      </c>
      <c r="N95" s="9" t="s">
        <v>45</v>
      </c>
      <c r="O95" s="9" t="s">
        <v>45</v>
      </c>
      <c r="P95" s="9" t="s">
        <v>45</v>
      </c>
      <c r="T95">
        <f>IF($E95="","",COUNTIF($E$2:$E95,$E95))</f>
        <v>19</v>
      </c>
      <c r="U95" t="str">
        <f t="shared" si="1"/>
        <v>THERMOSENSE|19</v>
      </c>
    </row>
    <row r="96" spans="1:21" x14ac:dyDescent="0.25">
      <c r="A96" s="9" t="s">
        <v>155</v>
      </c>
      <c r="B96" s="94">
        <v>46247</v>
      </c>
      <c r="C96" s="9" t="s">
        <v>104</v>
      </c>
      <c r="D96" s="9" t="s">
        <v>40</v>
      </c>
      <c r="E96" s="9" t="s">
        <v>7</v>
      </c>
      <c r="F96" s="47">
        <v>0.29166666666666702</v>
      </c>
      <c r="G96" s="45">
        <v>890</v>
      </c>
      <c r="H96" s="45">
        <v>1008</v>
      </c>
      <c r="I96" s="45">
        <v>977.76</v>
      </c>
      <c r="J96" s="45">
        <v>1038.24</v>
      </c>
      <c r="L96" s="9" t="s">
        <v>45</v>
      </c>
      <c r="M96" s="9" t="s">
        <v>45</v>
      </c>
      <c r="N96" s="9" t="s">
        <v>45</v>
      </c>
      <c r="O96" s="9" t="s">
        <v>45</v>
      </c>
      <c r="P96" s="9" t="s">
        <v>45</v>
      </c>
      <c r="T96">
        <f>IF($E96="","",COUNTIF($E$2:$E96,$E96))</f>
        <v>39</v>
      </c>
      <c r="U96" t="str">
        <f t="shared" si="1"/>
        <v>CLÁSICAS|39</v>
      </c>
    </row>
    <row r="97" spans="1:21" x14ac:dyDescent="0.25">
      <c r="A97" s="9" t="s">
        <v>156</v>
      </c>
      <c r="B97" s="94">
        <v>46247</v>
      </c>
      <c r="C97" s="9" t="s">
        <v>104</v>
      </c>
      <c r="D97" s="9" t="s">
        <v>40</v>
      </c>
      <c r="E97" s="9" t="s">
        <v>7</v>
      </c>
      <c r="F97" s="47">
        <v>0.33333333333333298</v>
      </c>
      <c r="G97" s="45">
        <v>890</v>
      </c>
      <c r="H97" s="45">
        <v>1008</v>
      </c>
      <c r="I97" s="45">
        <v>977.76</v>
      </c>
      <c r="J97" s="45">
        <v>1038.24</v>
      </c>
      <c r="L97" s="9" t="s">
        <v>45</v>
      </c>
      <c r="M97" s="9" t="s">
        <v>45</v>
      </c>
      <c r="N97" s="9" t="s">
        <v>45</v>
      </c>
      <c r="O97" s="9" t="s">
        <v>45</v>
      </c>
      <c r="P97" s="9" t="s">
        <v>45</v>
      </c>
      <c r="T97">
        <f>IF($E97="","",COUNTIF($E$2:$E97,$E97))</f>
        <v>40</v>
      </c>
      <c r="U97" t="str">
        <f t="shared" si="1"/>
        <v>CLÁSICAS|40</v>
      </c>
    </row>
    <row r="98" spans="1:21" x14ac:dyDescent="0.25">
      <c r="A98" s="9" t="s">
        <v>157</v>
      </c>
      <c r="B98" s="94">
        <v>46247</v>
      </c>
      <c r="C98" s="9" t="s">
        <v>104</v>
      </c>
      <c r="D98" s="9" t="s">
        <v>40</v>
      </c>
      <c r="E98" s="9" t="s">
        <v>62</v>
      </c>
      <c r="F98" s="47">
        <v>0.33333333333333298</v>
      </c>
      <c r="G98" s="45">
        <v>890</v>
      </c>
      <c r="H98" s="45">
        <v>985</v>
      </c>
      <c r="I98" s="45">
        <v>955.45</v>
      </c>
      <c r="J98" s="45">
        <v>1014.55</v>
      </c>
      <c r="L98" s="9" t="s">
        <v>45</v>
      </c>
      <c r="M98" s="9" t="s">
        <v>45</v>
      </c>
      <c r="N98" s="9" t="s">
        <v>45</v>
      </c>
      <c r="O98" s="9" t="s">
        <v>45</v>
      </c>
      <c r="P98" s="9" t="s">
        <v>45</v>
      </c>
      <c r="T98">
        <f>IF($E98="","",COUNTIF($E$2:$E98,$E98))</f>
        <v>20</v>
      </c>
      <c r="U98" t="str">
        <f t="shared" si="1"/>
        <v>THERMOSENSE|20</v>
      </c>
    </row>
    <row r="99" spans="1:21" x14ac:dyDescent="0.25">
      <c r="A99" s="9" t="s">
        <v>158</v>
      </c>
      <c r="B99" s="94">
        <v>46247</v>
      </c>
      <c r="C99" s="9" t="s">
        <v>104</v>
      </c>
      <c r="D99" s="9" t="s">
        <v>40</v>
      </c>
      <c r="E99" s="9" t="s">
        <v>62</v>
      </c>
      <c r="F99" s="47">
        <v>0.375</v>
      </c>
      <c r="G99" s="45">
        <v>890</v>
      </c>
      <c r="H99" s="45">
        <v>985</v>
      </c>
      <c r="I99" s="45">
        <v>955.45</v>
      </c>
      <c r="J99" s="45">
        <v>1014.55</v>
      </c>
      <c r="L99" s="9" t="s">
        <v>45</v>
      </c>
      <c r="M99" s="9" t="s">
        <v>45</v>
      </c>
      <c r="N99" s="9" t="s">
        <v>45</v>
      </c>
      <c r="O99" s="9" t="s">
        <v>45</v>
      </c>
      <c r="P99" s="9" t="s">
        <v>45</v>
      </c>
      <c r="T99">
        <f>IF($E99="","",COUNTIF($E$2:$E99,$E99))</f>
        <v>21</v>
      </c>
      <c r="U99" t="str">
        <f t="shared" si="1"/>
        <v>THERMOSENSE|21</v>
      </c>
    </row>
    <row r="100" spans="1:21" x14ac:dyDescent="0.25">
      <c r="A100" s="9" t="s">
        <v>159</v>
      </c>
      <c r="B100" s="94">
        <v>46247</v>
      </c>
      <c r="C100" s="9" t="s">
        <v>104</v>
      </c>
      <c r="D100" s="9" t="s">
        <v>40</v>
      </c>
      <c r="E100" s="9" t="s">
        <v>7</v>
      </c>
      <c r="F100" s="47">
        <v>0.375</v>
      </c>
      <c r="G100" s="45">
        <v>890</v>
      </c>
      <c r="H100" s="45">
        <v>1008</v>
      </c>
      <c r="I100" s="45">
        <v>977.76</v>
      </c>
      <c r="J100" s="45">
        <v>1038.24</v>
      </c>
      <c r="L100" s="9" t="s">
        <v>45</v>
      </c>
      <c r="M100" s="9" t="s">
        <v>45</v>
      </c>
      <c r="N100" s="9" t="s">
        <v>45</v>
      </c>
      <c r="O100" s="9" t="s">
        <v>45</v>
      </c>
      <c r="P100" s="9" t="s">
        <v>45</v>
      </c>
      <c r="T100">
        <f>IF($E100="","",COUNTIF($E$2:$E100,$E100))</f>
        <v>41</v>
      </c>
      <c r="U100" t="str">
        <f t="shared" si="1"/>
        <v>CLÁSICAS|41</v>
      </c>
    </row>
    <row r="101" spans="1:21" x14ac:dyDescent="0.25">
      <c r="A101" s="9" t="s">
        <v>160</v>
      </c>
      <c r="B101" s="94">
        <v>46247</v>
      </c>
      <c r="C101" s="9" t="s">
        <v>58</v>
      </c>
      <c r="D101" s="9" t="s">
        <v>40</v>
      </c>
      <c r="E101" s="9" t="s">
        <v>7</v>
      </c>
      <c r="F101" s="47">
        <v>0.41666666666666702</v>
      </c>
      <c r="G101" s="45">
        <v>890</v>
      </c>
      <c r="H101" s="45">
        <v>1008</v>
      </c>
      <c r="I101" s="45">
        <v>977.76</v>
      </c>
      <c r="J101" s="45">
        <v>1038.24</v>
      </c>
      <c r="L101" s="9" t="s">
        <v>45</v>
      </c>
      <c r="M101" s="9" t="s">
        <v>45</v>
      </c>
      <c r="N101" s="9" t="s">
        <v>45</v>
      </c>
      <c r="O101" s="9" t="s">
        <v>45</v>
      </c>
      <c r="P101" s="9" t="s">
        <v>45</v>
      </c>
      <c r="T101">
        <f>IF($E101="","",COUNTIF($E$2:$E101,$E101))</f>
        <v>42</v>
      </c>
      <c r="U101" t="str">
        <f t="shared" si="1"/>
        <v>CLÁSICAS|42</v>
      </c>
    </row>
    <row r="102" spans="1:21" x14ac:dyDescent="0.25">
      <c r="A102" s="9" t="s">
        <v>161</v>
      </c>
      <c r="B102" s="94">
        <v>46247</v>
      </c>
      <c r="C102" s="9" t="s">
        <v>58</v>
      </c>
      <c r="D102" s="9" t="s">
        <v>40</v>
      </c>
      <c r="E102" s="9" t="s">
        <v>62</v>
      </c>
      <c r="F102" s="47">
        <v>0.41666666666666702</v>
      </c>
      <c r="G102" s="45">
        <v>890</v>
      </c>
      <c r="H102" s="45">
        <v>985</v>
      </c>
      <c r="I102" s="45">
        <v>955.45</v>
      </c>
      <c r="J102" s="45">
        <v>1014.55</v>
      </c>
      <c r="L102" s="9" t="s">
        <v>45</v>
      </c>
      <c r="M102" s="9" t="s">
        <v>45</v>
      </c>
      <c r="N102" s="9" t="s">
        <v>45</v>
      </c>
      <c r="O102" s="9" t="s">
        <v>45</v>
      </c>
      <c r="P102" s="9" t="s">
        <v>45</v>
      </c>
      <c r="T102">
        <f>IF($E102="","",COUNTIF($E$2:$E102,$E102))</f>
        <v>22</v>
      </c>
      <c r="U102" t="str">
        <f t="shared" si="1"/>
        <v>THERMOSENSE|22</v>
      </c>
    </row>
    <row r="103" spans="1:21" x14ac:dyDescent="0.25">
      <c r="A103" s="9" t="s">
        <v>162</v>
      </c>
      <c r="B103" s="94">
        <v>46247</v>
      </c>
      <c r="C103" s="9" t="s">
        <v>58</v>
      </c>
      <c r="D103" s="9" t="s">
        <v>40</v>
      </c>
      <c r="E103" s="9" t="s">
        <v>62</v>
      </c>
      <c r="F103" s="47">
        <v>0.45833333333333298</v>
      </c>
      <c r="G103" s="45">
        <v>890</v>
      </c>
      <c r="H103" s="45">
        <v>985</v>
      </c>
      <c r="I103" s="45">
        <v>955.45</v>
      </c>
      <c r="J103" s="45">
        <v>1014.55</v>
      </c>
      <c r="L103" s="9" t="s">
        <v>45</v>
      </c>
      <c r="M103" s="9" t="s">
        <v>45</v>
      </c>
      <c r="N103" s="9" t="s">
        <v>45</v>
      </c>
      <c r="O103" s="9" t="s">
        <v>45</v>
      </c>
      <c r="P103" s="9" t="s">
        <v>45</v>
      </c>
      <c r="T103">
        <f>IF($E103="","",COUNTIF($E$2:$E103,$E103))</f>
        <v>23</v>
      </c>
      <c r="U103" t="str">
        <f t="shared" si="1"/>
        <v>THERMOSENSE|23</v>
      </c>
    </row>
    <row r="104" spans="1:21" x14ac:dyDescent="0.25">
      <c r="A104" s="9" t="s">
        <v>163</v>
      </c>
      <c r="B104" s="94">
        <v>46247</v>
      </c>
      <c r="C104" s="9" t="s">
        <v>58</v>
      </c>
      <c r="D104" s="9" t="s">
        <v>40</v>
      </c>
      <c r="E104" s="9" t="s">
        <v>7</v>
      </c>
      <c r="F104" s="47">
        <v>0.45833333333333298</v>
      </c>
      <c r="G104" s="45">
        <v>890</v>
      </c>
      <c r="H104" s="45">
        <v>1008</v>
      </c>
      <c r="I104" s="45">
        <v>977.76</v>
      </c>
      <c r="J104" s="45">
        <v>1038.24</v>
      </c>
      <c r="L104" s="9" t="s">
        <v>45</v>
      </c>
      <c r="M104" s="9" t="s">
        <v>45</v>
      </c>
      <c r="N104" s="9" t="s">
        <v>45</v>
      </c>
      <c r="O104" s="9" t="s">
        <v>45</v>
      </c>
      <c r="P104" s="9" t="s">
        <v>45</v>
      </c>
      <c r="T104">
        <f>IF($E104="","",COUNTIF($E$2:$E104,$E104))</f>
        <v>43</v>
      </c>
      <c r="U104" t="str">
        <f t="shared" si="1"/>
        <v>CLÁSICAS|43</v>
      </c>
    </row>
    <row r="105" spans="1:21" x14ac:dyDescent="0.25">
      <c r="A105" s="9" t="s">
        <v>164</v>
      </c>
      <c r="B105" s="94">
        <v>46247</v>
      </c>
      <c r="C105" s="9" t="s">
        <v>58</v>
      </c>
      <c r="D105" s="9" t="s">
        <v>40</v>
      </c>
      <c r="E105" s="9" t="s">
        <v>7</v>
      </c>
      <c r="F105" s="47">
        <v>0.5</v>
      </c>
      <c r="G105" s="45">
        <v>890</v>
      </c>
      <c r="H105" s="45">
        <v>1008</v>
      </c>
      <c r="I105" s="45">
        <v>977.76</v>
      </c>
      <c r="J105" s="45">
        <v>1038.24</v>
      </c>
      <c r="L105" s="9" t="s">
        <v>45</v>
      </c>
      <c r="M105" s="9" t="s">
        <v>45</v>
      </c>
      <c r="N105" s="9" t="s">
        <v>45</v>
      </c>
      <c r="O105" s="9" t="s">
        <v>45</v>
      </c>
      <c r="P105" s="9" t="s">
        <v>45</v>
      </c>
      <c r="T105">
        <f>IF($E105="","",COUNTIF($E$2:$E105,$E105))</f>
        <v>44</v>
      </c>
      <c r="U105" t="str">
        <f t="shared" si="1"/>
        <v>CLÁSICAS|44</v>
      </c>
    </row>
    <row r="106" spans="1:21" x14ac:dyDescent="0.25">
      <c r="A106" s="9" t="s">
        <v>165</v>
      </c>
      <c r="B106" s="94">
        <v>46247</v>
      </c>
      <c r="C106" s="9" t="s">
        <v>58</v>
      </c>
      <c r="D106" s="9" t="s">
        <v>40</v>
      </c>
      <c r="E106" s="9" t="s">
        <v>62</v>
      </c>
      <c r="F106" s="47">
        <v>0.5</v>
      </c>
      <c r="G106" s="45">
        <v>890</v>
      </c>
      <c r="H106" s="45">
        <v>985</v>
      </c>
      <c r="I106" s="45">
        <v>955.45</v>
      </c>
      <c r="J106" s="45">
        <v>1014.55</v>
      </c>
      <c r="L106" s="9" t="s">
        <v>45</v>
      </c>
      <c r="M106" s="9" t="s">
        <v>45</v>
      </c>
      <c r="N106" s="9" t="s">
        <v>45</v>
      </c>
      <c r="O106" s="9" t="s">
        <v>45</v>
      </c>
      <c r="P106" s="9" t="s">
        <v>45</v>
      </c>
      <c r="T106">
        <f>IF($E106="","",COUNTIF($E$2:$E106,$E106))</f>
        <v>24</v>
      </c>
      <c r="U106" t="str">
        <f t="shared" si="1"/>
        <v>THERMOSENSE|24</v>
      </c>
    </row>
    <row r="107" spans="1:21" x14ac:dyDescent="0.25">
      <c r="A107" s="9" t="s">
        <v>166</v>
      </c>
      <c r="B107" s="94">
        <v>46248</v>
      </c>
      <c r="C107" s="9" t="s">
        <v>58</v>
      </c>
      <c r="D107" s="9" t="s">
        <v>40</v>
      </c>
      <c r="E107" s="9" t="s">
        <v>7</v>
      </c>
      <c r="F107" s="47">
        <v>0.25</v>
      </c>
      <c r="G107" s="45">
        <v>900</v>
      </c>
      <c r="H107" s="45">
        <v>1008</v>
      </c>
      <c r="I107" s="45">
        <v>977.76</v>
      </c>
      <c r="J107" s="45">
        <v>1038.24</v>
      </c>
      <c r="L107" s="9" t="s">
        <v>45</v>
      </c>
      <c r="M107" s="9" t="s">
        <v>45</v>
      </c>
      <c r="N107" s="9" t="s">
        <v>45</v>
      </c>
      <c r="O107" s="9" t="s">
        <v>45</v>
      </c>
      <c r="P107" s="9" t="s">
        <v>45</v>
      </c>
      <c r="T107">
        <f>IF($E107="","",COUNTIF($E$2:$E107,$E107))</f>
        <v>45</v>
      </c>
      <c r="U107" t="str">
        <f t="shared" si="1"/>
        <v>CLÁSICAS|45</v>
      </c>
    </row>
    <row r="108" spans="1:21" x14ac:dyDescent="0.25">
      <c r="A108" s="9" t="s">
        <v>167</v>
      </c>
      <c r="B108" s="94">
        <v>46248</v>
      </c>
      <c r="C108" s="9" t="s">
        <v>58</v>
      </c>
      <c r="D108" s="9" t="s">
        <v>40</v>
      </c>
      <c r="E108" s="9" t="s">
        <v>60</v>
      </c>
      <c r="F108" s="47">
        <v>0.25</v>
      </c>
      <c r="G108" s="45">
        <v>875</v>
      </c>
      <c r="H108" s="45">
        <v>995</v>
      </c>
      <c r="I108" s="45">
        <v>965.15</v>
      </c>
      <c r="J108" s="45">
        <v>1024.8499999999999</v>
      </c>
      <c r="L108" s="9" t="s">
        <v>45</v>
      </c>
      <c r="M108" s="9" t="s">
        <v>45</v>
      </c>
      <c r="N108" s="9" t="s">
        <v>45</v>
      </c>
      <c r="O108" s="9" t="s">
        <v>45</v>
      </c>
      <c r="P108" s="9" t="s">
        <v>45</v>
      </c>
      <c r="T108">
        <f>IF($E108="","",COUNTIF($E$2:$E108,$E108))</f>
        <v>38</v>
      </c>
      <c r="U108" t="str">
        <f t="shared" si="1"/>
        <v>CERVICALES|38</v>
      </c>
    </row>
    <row r="109" spans="1:21" x14ac:dyDescent="0.25">
      <c r="A109" s="9" t="s">
        <v>168</v>
      </c>
      <c r="B109" s="94">
        <v>46248</v>
      </c>
      <c r="C109" s="9" t="s">
        <v>58</v>
      </c>
      <c r="D109" s="9" t="s">
        <v>40</v>
      </c>
      <c r="E109" s="9" t="s">
        <v>60</v>
      </c>
      <c r="F109" s="47">
        <v>0.29166666666666702</v>
      </c>
      <c r="G109" s="45">
        <v>875</v>
      </c>
      <c r="H109" s="45">
        <v>995</v>
      </c>
      <c r="I109" s="45">
        <v>965.15</v>
      </c>
      <c r="J109" s="45">
        <v>1024.8499999999999</v>
      </c>
      <c r="L109" s="9" t="s">
        <v>45</v>
      </c>
      <c r="M109" s="9" t="s">
        <v>45</v>
      </c>
      <c r="N109" s="9" t="s">
        <v>45</v>
      </c>
      <c r="O109" s="9" t="s">
        <v>45</v>
      </c>
      <c r="P109" s="9" t="s">
        <v>45</v>
      </c>
      <c r="T109">
        <f>IF($E109="","",COUNTIF($E$2:$E109,$E109))</f>
        <v>39</v>
      </c>
      <c r="U109" t="str">
        <f t="shared" si="1"/>
        <v>CERVICALES|39</v>
      </c>
    </row>
    <row r="110" spans="1:21" x14ac:dyDescent="0.25">
      <c r="A110" s="9" t="s">
        <v>169</v>
      </c>
      <c r="B110" s="94">
        <v>46248</v>
      </c>
      <c r="C110" s="9" t="s">
        <v>58</v>
      </c>
      <c r="D110" s="9" t="s">
        <v>40</v>
      </c>
      <c r="E110" s="9" t="s">
        <v>7</v>
      </c>
      <c r="F110" s="47">
        <v>0.29166666666666702</v>
      </c>
      <c r="G110" s="45">
        <v>900</v>
      </c>
      <c r="H110" s="45">
        <v>1008</v>
      </c>
      <c r="I110" s="45">
        <v>977.76</v>
      </c>
      <c r="J110" s="45">
        <v>1038.24</v>
      </c>
      <c r="L110" s="9" t="s">
        <v>45</v>
      </c>
      <c r="M110" s="9" t="s">
        <v>45</v>
      </c>
      <c r="N110" s="9" t="s">
        <v>45</v>
      </c>
      <c r="O110" s="9" t="s">
        <v>45</v>
      </c>
      <c r="P110" s="9" t="s">
        <v>45</v>
      </c>
      <c r="T110">
        <f>IF($E110="","",COUNTIF($E$2:$E110,$E110))</f>
        <v>46</v>
      </c>
      <c r="U110" t="str">
        <f t="shared" si="1"/>
        <v>CLÁSICAS|46</v>
      </c>
    </row>
    <row r="111" spans="1:21" x14ac:dyDescent="0.25">
      <c r="A111" s="9" t="s">
        <v>170</v>
      </c>
      <c r="B111" s="94">
        <v>46248</v>
      </c>
      <c r="C111" s="9" t="s">
        <v>58</v>
      </c>
      <c r="D111" s="9" t="s">
        <v>40</v>
      </c>
      <c r="E111" s="9" t="s">
        <v>7</v>
      </c>
      <c r="F111" s="47">
        <v>0.33333333333333298</v>
      </c>
      <c r="G111" s="45">
        <v>900</v>
      </c>
      <c r="H111" s="45">
        <v>1008</v>
      </c>
      <c r="I111" s="45">
        <v>977.76</v>
      </c>
      <c r="J111" s="45">
        <v>1038.24</v>
      </c>
      <c r="L111" s="9" t="s">
        <v>45</v>
      </c>
      <c r="M111" s="9" t="s">
        <v>45</v>
      </c>
      <c r="N111" s="9" t="s">
        <v>45</v>
      </c>
      <c r="O111" s="9" t="s">
        <v>45</v>
      </c>
      <c r="P111" s="9" t="s">
        <v>45</v>
      </c>
      <c r="T111">
        <f>IF($E111="","",COUNTIF($E$2:$E111,$E111))</f>
        <v>47</v>
      </c>
      <c r="U111" t="str">
        <f t="shared" si="1"/>
        <v>CLÁSICAS|47</v>
      </c>
    </row>
    <row r="112" spans="1:21" x14ac:dyDescent="0.25">
      <c r="A112" s="9" t="s">
        <v>171</v>
      </c>
      <c r="B112" s="94">
        <v>46248</v>
      </c>
      <c r="C112" s="9" t="s">
        <v>58</v>
      </c>
      <c r="D112" s="9" t="s">
        <v>40</v>
      </c>
      <c r="E112" s="9" t="s">
        <v>60</v>
      </c>
      <c r="F112" s="47">
        <v>0.33333333333333298</v>
      </c>
      <c r="G112" s="45">
        <v>880</v>
      </c>
      <c r="H112" s="45">
        <v>995</v>
      </c>
      <c r="I112" s="45">
        <v>965.15</v>
      </c>
      <c r="J112" s="45">
        <v>1024.8499999999999</v>
      </c>
      <c r="L112" s="9" t="s">
        <v>45</v>
      </c>
      <c r="M112" s="9" t="s">
        <v>45</v>
      </c>
      <c r="N112" s="9" t="s">
        <v>45</v>
      </c>
      <c r="O112" s="9" t="s">
        <v>45</v>
      </c>
      <c r="P112" s="9" t="s">
        <v>45</v>
      </c>
      <c r="T112">
        <f>IF($E112="","",COUNTIF($E$2:$E112,$E112))</f>
        <v>40</v>
      </c>
      <c r="U112" t="str">
        <f t="shared" si="1"/>
        <v>CERVICALES|40</v>
      </c>
    </row>
    <row r="113" spans="1:21" x14ac:dyDescent="0.25">
      <c r="A113" s="9" t="s">
        <v>172</v>
      </c>
      <c r="B113" s="94">
        <v>46248</v>
      </c>
      <c r="C113" s="9" t="s">
        <v>58</v>
      </c>
      <c r="D113" s="9" t="s">
        <v>40</v>
      </c>
      <c r="E113" s="9" t="s">
        <v>60</v>
      </c>
      <c r="F113" s="47">
        <v>0.375</v>
      </c>
      <c r="G113" s="45">
        <v>880</v>
      </c>
      <c r="H113" s="45">
        <v>995</v>
      </c>
      <c r="I113" s="45">
        <v>965.15</v>
      </c>
      <c r="J113" s="45">
        <v>1024.8499999999999</v>
      </c>
      <c r="L113" s="9" t="s">
        <v>45</v>
      </c>
      <c r="M113" s="9" t="s">
        <v>45</v>
      </c>
      <c r="N113" s="9" t="s">
        <v>45</v>
      </c>
      <c r="O113" s="9" t="s">
        <v>45</v>
      </c>
      <c r="P113" s="9" t="s">
        <v>45</v>
      </c>
      <c r="T113">
        <f>IF($E113="","",COUNTIF($E$2:$E113,$E113))</f>
        <v>41</v>
      </c>
      <c r="U113" t="str">
        <f t="shared" si="1"/>
        <v>CERVICALES|41</v>
      </c>
    </row>
    <row r="114" spans="1:21" x14ac:dyDescent="0.25">
      <c r="A114" s="9" t="s">
        <v>173</v>
      </c>
      <c r="B114" s="94">
        <v>46248</v>
      </c>
      <c r="C114" s="9" t="s">
        <v>58</v>
      </c>
      <c r="D114" s="9" t="s">
        <v>40</v>
      </c>
      <c r="E114" s="9" t="s">
        <v>7</v>
      </c>
      <c r="F114" s="47">
        <v>0.375</v>
      </c>
      <c r="G114" s="45">
        <v>900</v>
      </c>
      <c r="H114" s="45">
        <v>1008</v>
      </c>
      <c r="I114" s="45">
        <v>977.76</v>
      </c>
      <c r="J114" s="45">
        <v>1038.24</v>
      </c>
      <c r="L114" s="9" t="s">
        <v>45</v>
      </c>
      <c r="M114" s="9" t="s">
        <v>45</v>
      </c>
      <c r="N114" s="9" t="s">
        <v>45</v>
      </c>
      <c r="O114" s="9" t="s">
        <v>45</v>
      </c>
      <c r="P114" s="9" t="s">
        <v>45</v>
      </c>
      <c r="T114">
        <f>IF($E114="","",COUNTIF($E$2:$E114,$E114))</f>
        <v>48</v>
      </c>
      <c r="U114" t="str">
        <f t="shared" si="1"/>
        <v>CLÁSICAS|48</v>
      </c>
    </row>
    <row r="115" spans="1:21" x14ac:dyDescent="0.25">
      <c r="A115" s="9" t="s">
        <v>174</v>
      </c>
      <c r="B115" s="94">
        <v>46248</v>
      </c>
      <c r="C115" s="9" t="s">
        <v>58</v>
      </c>
      <c r="D115" s="9" t="s">
        <v>40</v>
      </c>
      <c r="E115" s="9" t="s">
        <v>7</v>
      </c>
      <c r="F115" s="47">
        <v>0.41666666666666702</v>
      </c>
      <c r="G115" s="45">
        <v>900</v>
      </c>
      <c r="H115" s="45">
        <v>1008</v>
      </c>
      <c r="I115" s="45">
        <v>977.76</v>
      </c>
      <c r="J115" s="45">
        <v>1038.24</v>
      </c>
      <c r="L115" s="9" t="s">
        <v>45</v>
      </c>
      <c r="M115" s="9" t="s">
        <v>45</v>
      </c>
      <c r="N115" s="9" t="s">
        <v>45</v>
      </c>
      <c r="O115" s="9" t="s">
        <v>45</v>
      </c>
      <c r="P115" s="9" t="s">
        <v>45</v>
      </c>
      <c r="T115">
        <f>IF($E115="","",COUNTIF($E$2:$E115,$E115))</f>
        <v>49</v>
      </c>
      <c r="U115" t="str">
        <f t="shared" si="1"/>
        <v>CLÁSICAS|49</v>
      </c>
    </row>
    <row r="116" spans="1:21" x14ac:dyDescent="0.25">
      <c r="A116" s="9" t="s">
        <v>175</v>
      </c>
      <c r="B116" s="94">
        <v>46248</v>
      </c>
      <c r="C116" s="9" t="s">
        <v>58</v>
      </c>
      <c r="D116" s="9" t="s">
        <v>40</v>
      </c>
      <c r="E116" s="9" t="s">
        <v>60</v>
      </c>
      <c r="F116" s="47">
        <v>0.41666666666666702</v>
      </c>
      <c r="G116" s="45">
        <v>885</v>
      </c>
      <c r="H116" s="45">
        <v>995</v>
      </c>
      <c r="I116" s="45">
        <v>965.15</v>
      </c>
      <c r="J116" s="45">
        <v>1024.8499999999999</v>
      </c>
      <c r="L116" s="9" t="s">
        <v>45</v>
      </c>
      <c r="M116" s="9" t="s">
        <v>45</v>
      </c>
      <c r="N116" s="9" t="s">
        <v>45</v>
      </c>
      <c r="O116" s="9" t="s">
        <v>45</v>
      </c>
      <c r="P116" s="9" t="s">
        <v>45</v>
      </c>
      <c r="T116">
        <f>IF($E116="","",COUNTIF($E$2:$E116,$E116))</f>
        <v>42</v>
      </c>
      <c r="U116" t="str">
        <f t="shared" si="1"/>
        <v>CERVICALES|42</v>
      </c>
    </row>
    <row r="117" spans="1:21" x14ac:dyDescent="0.25">
      <c r="A117" s="9" t="s">
        <v>176</v>
      </c>
      <c r="B117" s="94">
        <v>46248</v>
      </c>
      <c r="C117" s="9" t="s">
        <v>58</v>
      </c>
      <c r="D117" s="9" t="s">
        <v>40</v>
      </c>
      <c r="E117" s="9" t="s">
        <v>60</v>
      </c>
      <c r="F117" s="47">
        <v>0.45833333333333298</v>
      </c>
      <c r="G117" s="45">
        <v>885</v>
      </c>
      <c r="H117" s="45">
        <v>995</v>
      </c>
      <c r="I117" s="45">
        <v>965.15</v>
      </c>
      <c r="J117" s="45">
        <v>1024.8499999999999</v>
      </c>
      <c r="L117" s="9" t="s">
        <v>45</v>
      </c>
      <c r="M117" s="9" t="s">
        <v>45</v>
      </c>
      <c r="N117" s="9" t="s">
        <v>45</v>
      </c>
      <c r="O117" s="9" t="s">
        <v>45</v>
      </c>
      <c r="P117" s="9" t="s">
        <v>45</v>
      </c>
      <c r="T117">
        <f>IF($E117="","",COUNTIF($E$2:$E117,$E117))</f>
        <v>43</v>
      </c>
      <c r="U117" t="str">
        <f t="shared" si="1"/>
        <v>CERVICALES|43</v>
      </c>
    </row>
    <row r="118" spans="1:21" x14ac:dyDescent="0.25">
      <c r="A118" s="9" t="s">
        <v>177</v>
      </c>
      <c r="B118" s="94">
        <v>46248</v>
      </c>
      <c r="C118" s="9" t="s">
        <v>58</v>
      </c>
      <c r="D118" s="9" t="s">
        <v>40</v>
      </c>
      <c r="E118" s="9" t="s">
        <v>7</v>
      </c>
      <c r="F118" s="47">
        <v>0.45833333333333298</v>
      </c>
      <c r="G118" s="45">
        <v>900</v>
      </c>
      <c r="H118" s="45">
        <v>1008</v>
      </c>
      <c r="I118" s="45">
        <v>977.76</v>
      </c>
      <c r="J118" s="45">
        <v>1038.24</v>
      </c>
      <c r="L118" s="9" t="s">
        <v>45</v>
      </c>
      <c r="M118" s="9" t="s">
        <v>45</v>
      </c>
      <c r="N118" s="9" t="s">
        <v>45</v>
      </c>
      <c r="O118" s="9" t="s">
        <v>45</v>
      </c>
      <c r="P118" s="9" t="s">
        <v>45</v>
      </c>
      <c r="T118">
        <f>IF($E118="","",COUNTIF($E$2:$E118,$E118))</f>
        <v>50</v>
      </c>
      <c r="U118" t="str">
        <f t="shared" si="1"/>
        <v>CLÁSICAS|50</v>
      </c>
    </row>
    <row r="119" spans="1:21" x14ac:dyDescent="0.25">
      <c r="A119" s="9" t="s">
        <v>178</v>
      </c>
      <c r="B119" s="94">
        <v>46248</v>
      </c>
      <c r="C119" s="9" t="s">
        <v>58</v>
      </c>
      <c r="D119" s="9" t="s">
        <v>40</v>
      </c>
      <c r="E119" s="9" t="s">
        <v>7</v>
      </c>
      <c r="F119" s="47">
        <v>0.5</v>
      </c>
      <c r="G119" s="45">
        <v>900</v>
      </c>
      <c r="H119" s="45">
        <v>1008</v>
      </c>
      <c r="I119" s="45">
        <v>977.76</v>
      </c>
      <c r="J119" s="45">
        <v>1038.24</v>
      </c>
      <c r="L119" s="9" t="s">
        <v>45</v>
      </c>
      <c r="M119" s="9" t="s">
        <v>45</v>
      </c>
      <c r="N119" s="9" t="s">
        <v>45</v>
      </c>
      <c r="O119" s="9" t="s">
        <v>45</v>
      </c>
      <c r="P119" s="9" t="s">
        <v>45</v>
      </c>
      <c r="T119">
        <f>IF($E119="","",COUNTIF($E$2:$E119,$E119))</f>
        <v>51</v>
      </c>
      <c r="U119" t="str">
        <f t="shared" si="1"/>
        <v>CLÁSICAS|51</v>
      </c>
    </row>
    <row r="120" spans="1:21" x14ac:dyDescent="0.25">
      <c r="A120" s="9" t="s">
        <v>179</v>
      </c>
      <c r="B120" s="94">
        <v>46248</v>
      </c>
      <c r="C120" s="9" t="s">
        <v>58</v>
      </c>
      <c r="D120" s="9" t="s">
        <v>40</v>
      </c>
      <c r="E120" s="9" t="s">
        <v>60</v>
      </c>
      <c r="F120" s="47">
        <v>0.5</v>
      </c>
      <c r="G120" s="45">
        <v>880</v>
      </c>
      <c r="H120" s="45">
        <v>995</v>
      </c>
      <c r="I120" s="45">
        <v>965.15</v>
      </c>
      <c r="J120" s="45">
        <v>1024.8499999999999</v>
      </c>
      <c r="L120" s="9" t="s">
        <v>45</v>
      </c>
      <c r="M120" s="9" t="s">
        <v>45</v>
      </c>
      <c r="N120" s="9" t="s">
        <v>45</v>
      </c>
      <c r="O120" s="9" t="s">
        <v>45</v>
      </c>
      <c r="P120" s="9" t="s">
        <v>45</v>
      </c>
      <c r="T120">
        <f>IF($E120="","",COUNTIF($E$2:$E120,$E120))</f>
        <v>44</v>
      </c>
      <c r="U120" t="str">
        <f t="shared" si="1"/>
        <v>CERVICALES|44</v>
      </c>
    </row>
    <row r="121" spans="1:21" x14ac:dyDescent="0.25">
      <c r="A121" s="9" t="s">
        <v>180</v>
      </c>
      <c r="B121" s="94">
        <v>46248</v>
      </c>
      <c r="C121" s="9" t="s">
        <v>58</v>
      </c>
      <c r="D121" s="9" t="s">
        <v>40</v>
      </c>
      <c r="E121" s="9" t="s">
        <v>60</v>
      </c>
      <c r="F121" s="47">
        <v>0.54166666666666696</v>
      </c>
      <c r="G121" s="45">
        <v>880</v>
      </c>
      <c r="H121" s="45">
        <v>995</v>
      </c>
      <c r="I121" s="45">
        <v>965.15</v>
      </c>
      <c r="J121" s="45">
        <v>1024.8499999999999</v>
      </c>
      <c r="L121" s="9" t="s">
        <v>45</v>
      </c>
      <c r="M121" s="9" t="s">
        <v>45</v>
      </c>
      <c r="N121" s="9" t="s">
        <v>45</v>
      </c>
      <c r="O121" s="9" t="s">
        <v>45</v>
      </c>
      <c r="P121" s="9" t="s">
        <v>45</v>
      </c>
      <c r="T121">
        <f>IF($E121="","",COUNTIF($E$2:$E121,$E121))</f>
        <v>45</v>
      </c>
      <c r="U121" t="str">
        <f t="shared" si="1"/>
        <v>CERVICALES|45</v>
      </c>
    </row>
    <row r="122" spans="1:21" x14ac:dyDescent="0.25">
      <c r="A122" s="9" t="s">
        <v>181</v>
      </c>
      <c r="B122" s="94">
        <v>46248</v>
      </c>
      <c r="C122" s="9" t="s">
        <v>58</v>
      </c>
      <c r="D122" s="9" t="s">
        <v>40</v>
      </c>
      <c r="E122" s="9" t="s">
        <v>7</v>
      </c>
      <c r="F122" s="47">
        <v>0.54166666666666696</v>
      </c>
      <c r="G122" s="45">
        <v>900</v>
      </c>
      <c r="H122" s="45">
        <v>1008</v>
      </c>
      <c r="I122" s="45">
        <v>977.76</v>
      </c>
      <c r="J122" s="45">
        <v>1038.24</v>
      </c>
      <c r="L122" s="9" t="s">
        <v>45</v>
      </c>
      <c r="M122" s="9" t="s">
        <v>45</v>
      </c>
      <c r="N122" s="9" t="s">
        <v>45</v>
      </c>
      <c r="O122" s="9" t="s">
        <v>45</v>
      </c>
      <c r="P122" s="9" t="s">
        <v>45</v>
      </c>
      <c r="T122">
        <f>IF($E122="","",COUNTIF($E$2:$E122,$E122))</f>
        <v>52</v>
      </c>
      <c r="U122" t="str">
        <f t="shared" si="1"/>
        <v>CLÁSICAS|52</v>
      </c>
    </row>
    <row r="123" spans="1:21" x14ac:dyDescent="0.25">
      <c r="A123" s="9" t="s">
        <v>182</v>
      </c>
      <c r="B123" s="94">
        <v>46254</v>
      </c>
      <c r="C123" s="9" t="s">
        <v>58</v>
      </c>
      <c r="D123" s="9" t="s">
        <v>40</v>
      </c>
      <c r="E123" s="9" t="s">
        <v>7</v>
      </c>
      <c r="F123" s="47">
        <v>0.25</v>
      </c>
      <c r="G123" s="45">
        <v>950</v>
      </c>
      <c r="H123" s="45">
        <v>1008</v>
      </c>
      <c r="I123" s="45">
        <v>977.76</v>
      </c>
      <c r="J123" s="45">
        <v>1038.24</v>
      </c>
      <c r="L123" s="9" t="s">
        <v>45</v>
      </c>
      <c r="M123" s="9" t="s">
        <v>45</v>
      </c>
      <c r="N123" s="9" t="s">
        <v>45</v>
      </c>
      <c r="O123" s="9" t="s">
        <v>45</v>
      </c>
      <c r="P123" s="9" t="s">
        <v>45</v>
      </c>
      <c r="T123">
        <f>IF($E123="","",COUNTIF($E$2:$E123,$E123))</f>
        <v>53</v>
      </c>
      <c r="U123" t="str">
        <f t="shared" si="1"/>
        <v>CLÁSICAS|53</v>
      </c>
    </row>
    <row r="124" spans="1:21" x14ac:dyDescent="0.25">
      <c r="A124" s="9" t="s">
        <v>183</v>
      </c>
      <c r="B124" s="94">
        <v>46254</v>
      </c>
      <c r="C124" s="9" t="s">
        <v>58</v>
      </c>
      <c r="D124" s="9" t="s">
        <v>40</v>
      </c>
      <c r="E124" s="9" t="s">
        <v>60</v>
      </c>
      <c r="F124" s="47">
        <v>0.25</v>
      </c>
      <c r="G124" s="45">
        <v>940</v>
      </c>
      <c r="H124" s="45">
        <v>995</v>
      </c>
      <c r="I124" s="45">
        <v>965.15</v>
      </c>
      <c r="J124" s="45">
        <v>1024.8499999999999</v>
      </c>
      <c r="L124" s="9" t="s">
        <v>45</v>
      </c>
      <c r="M124" s="9" t="s">
        <v>45</v>
      </c>
      <c r="N124" s="9" t="s">
        <v>45</v>
      </c>
      <c r="O124" s="9" t="s">
        <v>45</v>
      </c>
      <c r="P124" s="9" t="s">
        <v>45</v>
      </c>
      <c r="T124">
        <f>IF($E124="","",COUNTIF($E$2:$E124,$E124))</f>
        <v>46</v>
      </c>
      <c r="U124" t="str">
        <f t="shared" si="1"/>
        <v>CERVICALES|46</v>
      </c>
    </row>
    <row r="125" spans="1:21" x14ac:dyDescent="0.25">
      <c r="A125" s="9" t="s">
        <v>184</v>
      </c>
      <c r="B125" s="94">
        <v>46254</v>
      </c>
      <c r="C125" s="9" t="s">
        <v>58</v>
      </c>
      <c r="D125" s="9" t="s">
        <v>40</v>
      </c>
      <c r="E125" s="9" t="s">
        <v>185</v>
      </c>
      <c r="F125" s="47">
        <v>0.25</v>
      </c>
      <c r="G125" s="45">
        <v>770</v>
      </c>
      <c r="H125" s="45">
        <v>795</v>
      </c>
      <c r="I125" s="45">
        <v>771.15</v>
      </c>
      <c r="J125" s="45">
        <v>818.85</v>
      </c>
      <c r="L125" s="9" t="s">
        <v>45</v>
      </c>
      <c r="M125" s="9" t="s">
        <v>45</v>
      </c>
      <c r="N125" s="9" t="s">
        <v>45</v>
      </c>
      <c r="O125" s="9" t="s">
        <v>45</v>
      </c>
      <c r="P125" s="9" t="s">
        <v>45</v>
      </c>
      <c r="T125">
        <f>IF($E125="","",COUNTIF($E$2:$E125,$E125))</f>
        <v>1</v>
      </c>
      <c r="U125" t="str">
        <f t="shared" si="1"/>
        <v>PROMOS|1</v>
      </c>
    </row>
    <row r="126" spans="1:21" x14ac:dyDescent="0.25">
      <c r="A126" s="9" t="s">
        <v>186</v>
      </c>
      <c r="B126" s="94">
        <v>46254</v>
      </c>
      <c r="C126" s="9" t="s">
        <v>58</v>
      </c>
      <c r="D126" s="9" t="s">
        <v>40</v>
      </c>
      <c r="E126" s="9" t="s">
        <v>185</v>
      </c>
      <c r="F126" s="47">
        <v>0.29166666666666702</v>
      </c>
      <c r="G126" s="45">
        <v>770</v>
      </c>
      <c r="H126" s="45">
        <v>795</v>
      </c>
      <c r="I126" s="45">
        <v>771.15</v>
      </c>
      <c r="J126" s="45">
        <v>818.85</v>
      </c>
      <c r="L126" s="9" t="s">
        <v>45</v>
      </c>
      <c r="M126" s="9" t="s">
        <v>45</v>
      </c>
      <c r="N126" s="9" t="s">
        <v>45</v>
      </c>
      <c r="O126" s="9" t="s">
        <v>45</v>
      </c>
      <c r="P126" s="9" t="s">
        <v>45</v>
      </c>
      <c r="T126">
        <f>IF($E126="","",COUNTIF($E$2:$E126,$E126))</f>
        <v>2</v>
      </c>
      <c r="U126" t="str">
        <f t="shared" si="1"/>
        <v>PROMOS|2</v>
      </c>
    </row>
    <row r="127" spans="1:21" x14ac:dyDescent="0.25">
      <c r="A127" s="9" t="s">
        <v>187</v>
      </c>
      <c r="B127" s="94">
        <v>46254</v>
      </c>
      <c r="C127" s="9" t="s">
        <v>58</v>
      </c>
      <c r="D127" s="9" t="s">
        <v>40</v>
      </c>
      <c r="E127" s="9" t="s">
        <v>7</v>
      </c>
      <c r="F127" s="47">
        <v>0.29166666666666702</v>
      </c>
      <c r="G127" s="45">
        <v>970</v>
      </c>
      <c r="H127" s="45">
        <v>1008</v>
      </c>
      <c r="I127" s="45">
        <v>977.76</v>
      </c>
      <c r="J127" s="45">
        <v>1038.24</v>
      </c>
      <c r="L127" s="9" t="s">
        <v>45</v>
      </c>
      <c r="M127" s="9" t="s">
        <v>45</v>
      </c>
      <c r="N127" s="9" t="s">
        <v>45</v>
      </c>
      <c r="O127" s="9" t="s">
        <v>45</v>
      </c>
      <c r="P127" s="9" t="s">
        <v>45</v>
      </c>
      <c r="T127">
        <f>IF($E127="","",COUNTIF($E$2:$E127,$E127))</f>
        <v>54</v>
      </c>
      <c r="U127" t="str">
        <f t="shared" si="1"/>
        <v>CLÁSICAS|54</v>
      </c>
    </row>
    <row r="128" spans="1:21" x14ac:dyDescent="0.25">
      <c r="A128" s="9" t="s">
        <v>188</v>
      </c>
      <c r="B128" s="94">
        <v>46254</v>
      </c>
      <c r="C128" s="9" t="s">
        <v>58</v>
      </c>
      <c r="D128" s="9" t="s">
        <v>40</v>
      </c>
      <c r="E128" s="9" t="s">
        <v>60</v>
      </c>
      <c r="F128" s="47">
        <v>0.29166666666666702</v>
      </c>
      <c r="G128" s="45">
        <v>950</v>
      </c>
      <c r="H128" s="45">
        <v>995</v>
      </c>
      <c r="I128" s="45">
        <v>965.15</v>
      </c>
      <c r="J128" s="45">
        <v>1024.8499999999999</v>
      </c>
      <c r="L128" s="9" t="s">
        <v>45</v>
      </c>
      <c r="M128" s="9" t="s">
        <v>45</v>
      </c>
      <c r="N128" s="9" t="s">
        <v>45</v>
      </c>
      <c r="O128" s="9" t="s">
        <v>45</v>
      </c>
      <c r="P128" s="9" t="s">
        <v>45</v>
      </c>
      <c r="T128">
        <f>IF($E128="","",COUNTIF($E$2:$E128,$E128))</f>
        <v>47</v>
      </c>
      <c r="U128" t="str">
        <f t="shared" si="1"/>
        <v>CERVICALES|47</v>
      </c>
    </row>
    <row r="129" spans="1:21" x14ac:dyDescent="0.25">
      <c r="A129" s="9" t="s">
        <v>189</v>
      </c>
      <c r="B129" s="94">
        <v>46254</v>
      </c>
      <c r="C129" s="9" t="s">
        <v>58</v>
      </c>
      <c r="D129" s="9" t="s">
        <v>40</v>
      </c>
      <c r="E129" s="9" t="s">
        <v>60</v>
      </c>
      <c r="F129" s="47">
        <v>0.33333333333333298</v>
      </c>
      <c r="G129" s="45">
        <v>950</v>
      </c>
      <c r="H129" s="45">
        <v>995</v>
      </c>
      <c r="I129" s="45">
        <v>965.15</v>
      </c>
      <c r="J129" s="45">
        <v>1024.8499999999999</v>
      </c>
      <c r="L129" s="9" t="s">
        <v>45</v>
      </c>
      <c r="M129" s="9" t="s">
        <v>45</v>
      </c>
      <c r="N129" s="9" t="s">
        <v>45</v>
      </c>
      <c r="O129" s="9" t="s">
        <v>45</v>
      </c>
      <c r="P129" s="9" t="s">
        <v>45</v>
      </c>
      <c r="T129">
        <f>IF($E129="","",COUNTIF($E$2:$E129,$E129))</f>
        <v>48</v>
      </c>
      <c r="U129" t="str">
        <f t="shared" si="1"/>
        <v>CERVICALES|48</v>
      </c>
    </row>
    <row r="130" spans="1:21" x14ac:dyDescent="0.25">
      <c r="A130" s="9" t="s">
        <v>190</v>
      </c>
      <c r="B130" s="94">
        <v>46254</v>
      </c>
      <c r="C130" s="9" t="s">
        <v>58</v>
      </c>
      <c r="D130" s="9" t="s">
        <v>40</v>
      </c>
      <c r="E130" s="9" t="s">
        <v>7</v>
      </c>
      <c r="F130" s="47">
        <v>0.33333333333333298</v>
      </c>
      <c r="G130" s="45">
        <v>970</v>
      </c>
      <c r="H130" s="45">
        <v>1008</v>
      </c>
      <c r="I130" s="45">
        <v>977.76</v>
      </c>
      <c r="J130" s="45">
        <v>1038.24</v>
      </c>
      <c r="L130" s="9" t="s">
        <v>45</v>
      </c>
      <c r="M130" s="9" t="s">
        <v>45</v>
      </c>
      <c r="N130" s="9" t="s">
        <v>45</v>
      </c>
      <c r="O130" s="9" t="s">
        <v>45</v>
      </c>
      <c r="P130" s="9" t="s">
        <v>45</v>
      </c>
      <c r="T130">
        <f>IF($E130="","",COUNTIF($E$2:$E130,$E130))</f>
        <v>55</v>
      </c>
      <c r="U130" t="str">
        <f t="shared" ref="U130:U193" si="2">IF($E130="","",$E130&amp;"|"&amp;T130)</f>
        <v>CLÁSICAS|55</v>
      </c>
    </row>
    <row r="131" spans="1:21" x14ac:dyDescent="0.25">
      <c r="A131" s="9" t="s">
        <v>191</v>
      </c>
      <c r="B131" s="94">
        <v>46254</v>
      </c>
      <c r="C131" s="9" t="s">
        <v>58</v>
      </c>
      <c r="D131" s="9" t="s">
        <v>40</v>
      </c>
      <c r="E131" s="9" t="s">
        <v>185</v>
      </c>
      <c r="F131" s="47">
        <v>0.33333333333333298</v>
      </c>
      <c r="G131" s="45">
        <v>770</v>
      </c>
      <c r="H131" s="45">
        <v>795</v>
      </c>
      <c r="I131" s="45">
        <v>771.15</v>
      </c>
      <c r="J131" s="45">
        <v>818.85</v>
      </c>
      <c r="L131" s="9" t="s">
        <v>45</v>
      </c>
      <c r="M131" s="9" t="s">
        <v>45</v>
      </c>
      <c r="N131" s="9" t="s">
        <v>45</v>
      </c>
      <c r="O131" s="9" t="s">
        <v>45</v>
      </c>
      <c r="P131" s="9" t="s">
        <v>45</v>
      </c>
      <c r="T131">
        <f>IF($E131="","",COUNTIF($E$2:$E131,$E131))</f>
        <v>3</v>
      </c>
      <c r="U131" t="str">
        <f t="shared" si="2"/>
        <v>PROMOS|3</v>
      </c>
    </row>
    <row r="132" spans="1:21" x14ac:dyDescent="0.25">
      <c r="A132" s="9" t="s">
        <v>192</v>
      </c>
      <c r="B132" s="94">
        <v>46254</v>
      </c>
      <c r="C132" s="9" t="s">
        <v>58</v>
      </c>
      <c r="D132" s="9" t="s">
        <v>40</v>
      </c>
      <c r="E132" s="9" t="s">
        <v>185</v>
      </c>
      <c r="F132" s="47">
        <v>0.375</v>
      </c>
      <c r="G132" s="45">
        <v>770</v>
      </c>
      <c r="H132" s="45">
        <v>795</v>
      </c>
      <c r="I132" s="45">
        <v>771.15</v>
      </c>
      <c r="J132" s="45">
        <v>818.85</v>
      </c>
      <c r="L132" s="9" t="s">
        <v>45</v>
      </c>
      <c r="M132" s="9" t="s">
        <v>45</v>
      </c>
      <c r="N132" s="9" t="s">
        <v>45</v>
      </c>
      <c r="O132" s="9" t="s">
        <v>45</v>
      </c>
      <c r="P132" s="9" t="s">
        <v>45</v>
      </c>
      <c r="T132">
        <f>IF($E132="","",COUNTIF($E$2:$E132,$E132))</f>
        <v>4</v>
      </c>
      <c r="U132" t="str">
        <f t="shared" si="2"/>
        <v>PROMOS|4</v>
      </c>
    </row>
    <row r="133" spans="1:21" x14ac:dyDescent="0.25">
      <c r="A133" s="9" t="s">
        <v>193</v>
      </c>
      <c r="B133" s="94">
        <v>46254</v>
      </c>
      <c r="C133" s="9" t="s">
        <v>58</v>
      </c>
      <c r="D133" s="9" t="s">
        <v>40</v>
      </c>
      <c r="E133" s="9" t="s">
        <v>7</v>
      </c>
      <c r="F133" s="47">
        <v>0.375</v>
      </c>
      <c r="G133" s="45">
        <v>970</v>
      </c>
      <c r="H133" s="45">
        <v>1008</v>
      </c>
      <c r="I133" s="45">
        <v>977.76</v>
      </c>
      <c r="J133" s="45">
        <v>1038.24</v>
      </c>
      <c r="L133" s="9" t="s">
        <v>45</v>
      </c>
      <c r="M133" s="9" t="s">
        <v>45</v>
      </c>
      <c r="N133" s="9" t="s">
        <v>45</v>
      </c>
      <c r="O133" s="9" t="s">
        <v>45</v>
      </c>
      <c r="P133" s="9" t="s">
        <v>45</v>
      </c>
      <c r="T133">
        <f>IF($E133="","",COUNTIF($E$2:$E133,$E133))</f>
        <v>56</v>
      </c>
      <c r="U133" t="str">
        <f t="shared" si="2"/>
        <v>CLÁSICAS|56</v>
      </c>
    </row>
    <row r="134" spans="1:21" x14ac:dyDescent="0.25">
      <c r="A134" s="9" t="s">
        <v>194</v>
      </c>
      <c r="B134" s="94">
        <v>46254</v>
      </c>
      <c r="C134" s="9" t="s">
        <v>58</v>
      </c>
      <c r="D134" s="9" t="s">
        <v>40</v>
      </c>
      <c r="E134" s="9" t="s">
        <v>60</v>
      </c>
      <c r="F134" s="47">
        <v>0.375</v>
      </c>
      <c r="G134" s="45">
        <v>955</v>
      </c>
      <c r="H134" s="45">
        <v>995</v>
      </c>
      <c r="I134" s="45">
        <v>965.15</v>
      </c>
      <c r="J134" s="45">
        <v>1024.8499999999999</v>
      </c>
      <c r="L134" s="9" t="s">
        <v>45</v>
      </c>
      <c r="M134" s="9" t="s">
        <v>45</v>
      </c>
      <c r="N134" s="9" t="s">
        <v>45</v>
      </c>
      <c r="O134" s="9" t="s">
        <v>45</v>
      </c>
      <c r="P134" s="9" t="s">
        <v>45</v>
      </c>
      <c r="T134">
        <f>IF($E134="","",COUNTIF($E$2:$E134,$E134))</f>
        <v>49</v>
      </c>
      <c r="U134" t="str">
        <f t="shared" si="2"/>
        <v>CERVICALES|49</v>
      </c>
    </row>
    <row r="135" spans="1:21" x14ac:dyDescent="0.25">
      <c r="A135" s="9" t="s">
        <v>195</v>
      </c>
      <c r="B135" s="94">
        <v>46254</v>
      </c>
      <c r="C135" s="9" t="s">
        <v>58</v>
      </c>
      <c r="D135" s="9" t="s">
        <v>40</v>
      </c>
      <c r="E135" s="9" t="s">
        <v>60</v>
      </c>
      <c r="F135" s="47">
        <v>0.45833333333333298</v>
      </c>
      <c r="G135" s="45">
        <v>955</v>
      </c>
      <c r="H135" s="45">
        <v>995</v>
      </c>
      <c r="I135" s="45">
        <v>965.15</v>
      </c>
      <c r="J135" s="45">
        <v>1024.8499999999999</v>
      </c>
      <c r="L135" s="9" t="s">
        <v>45</v>
      </c>
      <c r="M135" s="9" t="s">
        <v>45</v>
      </c>
      <c r="N135" s="9" t="s">
        <v>45</v>
      </c>
      <c r="O135" s="9" t="s">
        <v>45</v>
      </c>
      <c r="P135" s="9" t="s">
        <v>45</v>
      </c>
      <c r="T135">
        <f>IF($E135="","",COUNTIF($E$2:$E135,$E135))</f>
        <v>50</v>
      </c>
      <c r="U135" t="str">
        <f t="shared" si="2"/>
        <v>CERVICALES|50</v>
      </c>
    </row>
    <row r="136" spans="1:21" x14ac:dyDescent="0.25">
      <c r="A136" s="9" t="s">
        <v>196</v>
      </c>
      <c r="B136" s="94">
        <v>46254</v>
      </c>
      <c r="C136" s="9" t="s">
        <v>58</v>
      </c>
      <c r="D136" s="9" t="s">
        <v>40</v>
      </c>
      <c r="E136" s="9" t="s">
        <v>7</v>
      </c>
      <c r="F136" s="47">
        <v>0.45833333333333298</v>
      </c>
      <c r="G136" s="45">
        <v>970</v>
      </c>
      <c r="H136" s="45">
        <v>1008</v>
      </c>
      <c r="I136" s="45">
        <v>977.76</v>
      </c>
      <c r="J136" s="45">
        <v>1038.24</v>
      </c>
      <c r="L136" s="9" t="s">
        <v>45</v>
      </c>
      <c r="M136" s="9" t="s">
        <v>45</v>
      </c>
      <c r="N136" s="9" t="s">
        <v>45</v>
      </c>
      <c r="O136" s="9" t="s">
        <v>45</v>
      </c>
      <c r="P136" s="9" t="s">
        <v>45</v>
      </c>
      <c r="T136">
        <f>IF($E136="","",COUNTIF($E$2:$E136,$E136))</f>
        <v>57</v>
      </c>
      <c r="U136" t="str">
        <f t="shared" si="2"/>
        <v>CLÁSICAS|57</v>
      </c>
    </row>
    <row r="137" spans="1:21" x14ac:dyDescent="0.25">
      <c r="A137" s="9" t="s">
        <v>197</v>
      </c>
      <c r="B137" s="94">
        <v>46254</v>
      </c>
      <c r="C137" s="9" t="s">
        <v>58</v>
      </c>
      <c r="D137" s="9" t="s">
        <v>40</v>
      </c>
      <c r="E137" s="9" t="s">
        <v>185</v>
      </c>
      <c r="F137" s="47">
        <v>0.45833333333333298</v>
      </c>
      <c r="G137" s="45">
        <v>775</v>
      </c>
      <c r="H137" s="45">
        <v>795</v>
      </c>
      <c r="I137" s="45">
        <v>771.15</v>
      </c>
      <c r="J137" s="45">
        <v>818.85</v>
      </c>
      <c r="L137" s="9" t="s">
        <v>45</v>
      </c>
      <c r="M137" s="9" t="s">
        <v>45</v>
      </c>
      <c r="N137" s="9" t="s">
        <v>45</v>
      </c>
      <c r="O137" s="9" t="s">
        <v>45</v>
      </c>
      <c r="P137" s="9" t="s">
        <v>45</v>
      </c>
      <c r="T137">
        <f>IF($E137="","",COUNTIF($E$2:$E137,$E137))</f>
        <v>5</v>
      </c>
      <c r="U137" t="str">
        <f t="shared" si="2"/>
        <v>PROMOS|5</v>
      </c>
    </row>
    <row r="138" spans="1:21" x14ac:dyDescent="0.25">
      <c r="A138" s="9" t="s">
        <v>198</v>
      </c>
      <c r="B138" s="94">
        <v>46254</v>
      </c>
      <c r="C138" s="9" t="s">
        <v>58</v>
      </c>
      <c r="D138" s="9" t="s">
        <v>40</v>
      </c>
      <c r="E138" s="9" t="s">
        <v>185</v>
      </c>
      <c r="F138" s="47">
        <v>0.5</v>
      </c>
      <c r="G138" s="45">
        <v>775</v>
      </c>
      <c r="H138" s="45">
        <v>795</v>
      </c>
      <c r="I138" s="45">
        <v>771.15</v>
      </c>
      <c r="J138" s="45">
        <v>818.85</v>
      </c>
      <c r="L138" s="9" t="s">
        <v>45</v>
      </c>
      <c r="M138" s="9" t="s">
        <v>45</v>
      </c>
      <c r="N138" s="9" t="s">
        <v>45</v>
      </c>
      <c r="O138" s="9" t="s">
        <v>45</v>
      </c>
      <c r="P138" s="9" t="s">
        <v>45</v>
      </c>
      <c r="T138">
        <f>IF($E138="","",COUNTIF($E$2:$E138,$E138))</f>
        <v>6</v>
      </c>
      <c r="U138" t="str">
        <f t="shared" si="2"/>
        <v>PROMOS|6</v>
      </c>
    </row>
    <row r="139" spans="1:21" x14ac:dyDescent="0.25">
      <c r="A139" s="9" t="s">
        <v>199</v>
      </c>
      <c r="B139" s="94">
        <v>46254</v>
      </c>
      <c r="C139" s="9" t="s">
        <v>58</v>
      </c>
      <c r="D139" s="9" t="s">
        <v>40</v>
      </c>
      <c r="E139" s="9" t="s">
        <v>7</v>
      </c>
      <c r="F139" s="47">
        <v>0.5</v>
      </c>
      <c r="G139" s="45">
        <v>970</v>
      </c>
      <c r="H139" s="45">
        <v>1008</v>
      </c>
      <c r="I139" s="45">
        <v>977.76</v>
      </c>
      <c r="J139" s="45">
        <v>1038.24</v>
      </c>
      <c r="L139" s="9" t="s">
        <v>45</v>
      </c>
      <c r="M139" s="9" t="s">
        <v>45</v>
      </c>
      <c r="N139" s="9" t="s">
        <v>45</v>
      </c>
      <c r="O139" s="9" t="s">
        <v>45</v>
      </c>
      <c r="P139" s="9" t="s">
        <v>45</v>
      </c>
      <c r="T139">
        <f>IF($E139="","",COUNTIF($E$2:$E139,$E139))</f>
        <v>58</v>
      </c>
      <c r="U139" t="str">
        <f t="shared" si="2"/>
        <v>CLÁSICAS|58</v>
      </c>
    </row>
    <row r="140" spans="1:21" x14ac:dyDescent="0.25">
      <c r="A140" s="9" t="s">
        <v>200</v>
      </c>
      <c r="B140" s="94">
        <v>46254</v>
      </c>
      <c r="C140" s="9" t="s">
        <v>58</v>
      </c>
      <c r="D140" s="9" t="s">
        <v>40</v>
      </c>
      <c r="E140" s="9" t="s">
        <v>60</v>
      </c>
      <c r="F140" s="47">
        <v>0.5</v>
      </c>
      <c r="G140" s="45">
        <v>955</v>
      </c>
      <c r="H140" s="45">
        <v>995</v>
      </c>
      <c r="I140" s="45">
        <v>965.15</v>
      </c>
      <c r="J140" s="45">
        <v>1024.8499999999999</v>
      </c>
      <c r="L140" s="9" t="s">
        <v>45</v>
      </c>
      <c r="M140" s="9" t="s">
        <v>45</v>
      </c>
      <c r="N140" s="9" t="s">
        <v>45</v>
      </c>
      <c r="O140" s="9" t="s">
        <v>45</v>
      </c>
      <c r="P140" s="9" t="s">
        <v>45</v>
      </c>
      <c r="T140">
        <f>IF($E140="","",COUNTIF($E$2:$E140,$E140))</f>
        <v>51</v>
      </c>
      <c r="U140" t="str">
        <f t="shared" si="2"/>
        <v>CERVICALES|51</v>
      </c>
    </row>
    <row r="141" spans="1:21" x14ac:dyDescent="0.25">
      <c r="A141" s="9" t="s">
        <v>201</v>
      </c>
      <c r="B141" s="94">
        <v>46255</v>
      </c>
      <c r="C141" s="9" t="s">
        <v>58</v>
      </c>
      <c r="D141" s="9" t="s">
        <v>40</v>
      </c>
      <c r="E141" s="9" t="s">
        <v>7</v>
      </c>
      <c r="F141" s="47">
        <v>0.25</v>
      </c>
      <c r="G141" s="45">
        <v>970</v>
      </c>
      <c r="H141" s="45">
        <v>1008</v>
      </c>
      <c r="I141" s="45">
        <v>977.76</v>
      </c>
      <c r="J141" s="45">
        <v>1038.24</v>
      </c>
      <c r="L141" s="9" t="s">
        <v>45</v>
      </c>
      <c r="M141" s="9" t="s">
        <v>45</v>
      </c>
      <c r="N141" s="9" t="s">
        <v>45</v>
      </c>
      <c r="O141" s="9" t="s">
        <v>45</v>
      </c>
      <c r="P141" s="9" t="s">
        <v>45</v>
      </c>
      <c r="T141">
        <f>IF($E141="","",COUNTIF($E$2:$E141,$E141))</f>
        <v>59</v>
      </c>
      <c r="U141" t="str">
        <f t="shared" si="2"/>
        <v>CLÁSICAS|59</v>
      </c>
    </row>
    <row r="142" spans="1:21" x14ac:dyDescent="0.25">
      <c r="A142" s="9" t="s">
        <v>202</v>
      </c>
      <c r="B142" s="94">
        <v>46255</v>
      </c>
      <c r="C142" s="9" t="s">
        <v>58</v>
      </c>
      <c r="D142" s="9" t="s">
        <v>40</v>
      </c>
      <c r="E142" s="9" t="s">
        <v>60</v>
      </c>
      <c r="F142" s="47">
        <v>0.25</v>
      </c>
      <c r="G142" s="45">
        <v>955</v>
      </c>
      <c r="H142" s="45">
        <v>995</v>
      </c>
      <c r="I142" s="45">
        <v>965.15</v>
      </c>
      <c r="J142" s="45">
        <v>1024.8499999999999</v>
      </c>
      <c r="L142" s="9" t="s">
        <v>45</v>
      </c>
      <c r="M142" s="9" t="s">
        <v>45</v>
      </c>
      <c r="N142" s="9" t="s">
        <v>45</v>
      </c>
      <c r="O142" s="9" t="s">
        <v>45</v>
      </c>
      <c r="P142" s="9" t="s">
        <v>45</v>
      </c>
      <c r="T142">
        <f>IF($E142="","",COUNTIF($E$2:$E142,$E142))</f>
        <v>52</v>
      </c>
      <c r="U142" t="str">
        <f t="shared" si="2"/>
        <v>CERVICALES|52</v>
      </c>
    </row>
    <row r="143" spans="1:21" x14ac:dyDescent="0.25">
      <c r="A143" s="9" t="s">
        <v>203</v>
      </c>
      <c r="B143" s="94">
        <v>46255</v>
      </c>
      <c r="C143" s="9" t="s">
        <v>58</v>
      </c>
      <c r="D143" s="9" t="s">
        <v>40</v>
      </c>
      <c r="E143" s="9" t="s">
        <v>60</v>
      </c>
      <c r="F143" s="47">
        <v>0.29166666666666702</v>
      </c>
      <c r="G143" s="45">
        <v>955</v>
      </c>
      <c r="H143" s="45">
        <v>995</v>
      </c>
      <c r="I143" s="45">
        <v>965.15</v>
      </c>
      <c r="J143" s="45">
        <v>1024.8499999999999</v>
      </c>
      <c r="L143" s="9" t="s">
        <v>45</v>
      </c>
      <c r="M143" s="9" t="s">
        <v>45</v>
      </c>
      <c r="N143" s="9" t="s">
        <v>45</v>
      </c>
      <c r="O143" s="9" t="s">
        <v>45</v>
      </c>
      <c r="P143" s="9" t="s">
        <v>45</v>
      </c>
      <c r="T143">
        <f>IF($E143="","",COUNTIF($E$2:$E143,$E143))</f>
        <v>53</v>
      </c>
      <c r="U143" t="str">
        <f t="shared" si="2"/>
        <v>CERVICALES|53</v>
      </c>
    </row>
    <row r="144" spans="1:21" x14ac:dyDescent="0.25">
      <c r="A144" s="9" t="s">
        <v>204</v>
      </c>
      <c r="B144" s="94">
        <v>46255</v>
      </c>
      <c r="C144" s="9" t="s">
        <v>58</v>
      </c>
      <c r="D144" s="9" t="s">
        <v>40</v>
      </c>
      <c r="E144" s="9" t="s">
        <v>7</v>
      </c>
      <c r="F144" s="47">
        <v>0.29166666666666702</v>
      </c>
      <c r="G144" s="45">
        <v>970</v>
      </c>
      <c r="H144" s="45">
        <v>1008</v>
      </c>
      <c r="I144" s="45">
        <v>977.76</v>
      </c>
      <c r="J144" s="45">
        <v>1038.24</v>
      </c>
      <c r="L144" s="9" t="s">
        <v>45</v>
      </c>
      <c r="M144" s="9" t="s">
        <v>45</v>
      </c>
      <c r="N144" s="9" t="s">
        <v>45</v>
      </c>
      <c r="O144" s="9" t="s">
        <v>45</v>
      </c>
      <c r="P144" s="9" t="s">
        <v>45</v>
      </c>
      <c r="T144">
        <f>IF($E144="","",COUNTIF($E$2:$E144,$E144))</f>
        <v>60</v>
      </c>
      <c r="U144" t="str">
        <f t="shared" si="2"/>
        <v>CLÁSICAS|60</v>
      </c>
    </row>
    <row r="145" spans="1:21" x14ac:dyDescent="0.25">
      <c r="A145" s="9" t="s">
        <v>205</v>
      </c>
      <c r="B145" s="94">
        <v>46255</v>
      </c>
      <c r="C145" s="9" t="s">
        <v>58</v>
      </c>
      <c r="D145" s="9" t="s">
        <v>40</v>
      </c>
      <c r="E145" s="9" t="s">
        <v>7</v>
      </c>
      <c r="F145" s="47">
        <v>0.33333333333333298</v>
      </c>
      <c r="G145" s="45">
        <v>970</v>
      </c>
      <c r="H145" s="45">
        <v>1008</v>
      </c>
      <c r="I145" s="45">
        <v>977.76</v>
      </c>
      <c r="J145" s="45">
        <v>1038.24</v>
      </c>
      <c r="L145" s="9" t="s">
        <v>45</v>
      </c>
      <c r="M145" s="9" t="s">
        <v>45</v>
      </c>
      <c r="N145" s="9" t="s">
        <v>45</v>
      </c>
      <c r="O145" s="9" t="s">
        <v>45</v>
      </c>
      <c r="P145" s="9" t="s">
        <v>45</v>
      </c>
      <c r="T145">
        <f>IF($E145="","",COUNTIF($E$2:$E145,$E145))</f>
        <v>61</v>
      </c>
      <c r="U145" t="str">
        <f t="shared" si="2"/>
        <v>CLÁSICAS|61</v>
      </c>
    </row>
    <row r="146" spans="1:21" x14ac:dyDescent="0.25">
      <c r="A146" s="9" t="s">
        <v>206</v>
      </c>
      <c r="B146" s="94">
        <v>46255</v>
      </c>
      <c r="C146" s="9" t="s">
        <v>58</v>
      </c>
      <c r="D146" s="9" t="s">
        <v>40</v>
      </c>
      <c r="E146" s="9" t="s">
        <v>60</v>
      </c>
      <c r="F146" s="47">
        <v>0.33333333333333298</v>
      </c>
      <c r="G146" s="45">
        <v>955</v>
      </c>
      <c r="H146" s="45">
        <v>995</v>
      </c>
      <c r="I146" s="45">
        <v>965.15</v>
      </c>
      <c r="J146" s="45">
        <v>1024.8499999999999</v>
      </c>
      <c r="L146" s="9" t="s">
        <v>45</v>
      </c>
      <c r="M146" s="9" t="s">
        <v>45</v>
      </c>
      <c r="N146" s="9" t="s">
        <v>45</v>
      </c>
      <c r="O146" s="9" t="s">
        <v>45</v>
      </c>
      <c r="P146" s="9" t="s">
        <v>45</v>
      </c>
      <c r="T146">
        <f>IF($E146="","",COUNTIF($E$2:$E146,$E146))</f>
        <v>54</v>
      </c>
      <c r="U146" t="str">
        <f t="shared" si="2"/>
        <v>CERVICALES|54</v>
      </c>
    </row>
    <row r="147" spans="1:21" x14ac:dyDescent="0.25">
      <c r="A147" s="9" t="s">
        <v>207</v>
      </c>
      <c r="B147" s="94">
        <v>46255</v>
      </c>
      <c r="C147" s="9" t="s">
        <v>58</v>
      </c>
      <c r="D147" s="9" t="s">
        <v>40</v>
      </c>
      <c r="E147" s="9" t="s">
        <v>60</v>
      </c>
      <c r="F147" s="47">
        <v>0.375</v>
      </c>
      <c r="G147" s="45">
        <v>955</v>
      </c>
      <c r="H147" s="45">
        <v>995</v>
      </c>
      <c r="I147" s="45">
        <v>965.15</v>
      </c>
      <c r="J147" s="45">
        <v>1024.8499999999999</v>
      </c>
      <c r="L147" s="9" t="s">
        <v>45</v>
      </c>
      <c r="M147" s="9" t="s">
        <v>45</v>
      </c>
      <c r="N147" s="9" t="s">
        <v>45</v>
      </c>
      <c r="O147" s="9" t="s">
        <v>45</v>
      </c>
      <c r="P147" s="9" t="s">
        <v>45</v>
      </c>
      <c r="T147">
        <f>IF($E147="","",COUNTIF($E$2:$E147,$E147))</f>
        <v>55</v>
      </c>
      <c r="U147" t="str">
        <f t="shared" si="2"/>
        <v>CERVICALES|55</v>
      </c>
    </row>
    <row r="148" spans="1:21" x14ac:dyDescent="0.25">
      <c r="A148" s="9" t="s">
        <v>208</v>
      </c>
      <c r="B148" s="94">
        <v>46255</v>
      </c>
      <c r="C148" s="9" t="s">
        <v>58</v>
      </c>
      <c r="D148" s="9" t="s">
        <v>40</v>
      </c>
      <c r="E148" s="9" t="s">
        <v>7</v>
      </c>
      <c r="F148" s="47">
        <v>0.375</v>
      </c>
      <c r="G148" s="45">
        <v>970</v>
      </c>
      <c r="H148" s="45">
        <v>1008</v>
      </c>
      <c r="I148" s="45">
        <v>977.76</v>
      </c>
      <c r="J148" s="45">
        <v>1038.24</v>
      </c>
      <c r="L148" s="9" t="s">
        <v>45</v>
      </c>
      <c r="M148" s="9" t="s">
        <v>45</v>
      </c>
      <c r="N148" s="9" t="s">
        <v>45</v>
      </c>
      <c r="O148" s="9" t="s">
        <v>45</v>
      </c>
      <c r="P148" s="9" t="s">
        <v>45</v>
      </c>
      <c r="T148">
        <f>IF($E148="","",COUNTIF($E$2:$E148,$E148))</f>
        <v>62</v>
      </c>
      <c r="U148" t="str">
        <f t="shared" si="2"/>
        <v>CLÁSICAS|62</v>
      </c>
    </row>
    <row r="149" spans="1:21" x14ac:dyDescent="0.25">
      <c r="A149" s="9" t="s">
        <v>209</v>
      </c>
      <c r="B149" s="94">
        <v>46255</v>
      </c>
      <c r="C149" s="9" t="s">
        <v>58</v>
      </c>
      <c r="D149" s="9" t="s">
        <v>40</v>
      </c>
      <c r="E149" s="9" t="s">
        <v>7</v>
      </c>
      <c r="F149" s="47">
        <v>0.41666666666666702</v>
      </c>
      <c r="G149" s="45">
        <v>970</v>
      </c>
      <c r="H149" s="45">
        <v>1008</v>
      </c>
      <c r="I149" s="45">
        <v>977.76</v>
      </c>
      <c r="J149" s="45">
        <v>1038.24</v>
      </c>
      <c r="L149" s="9" t="s">
        <v>45</v>
      </c>
      <c r="M149" s="9" t="s">
        <v>45</v>
      </c>
      <c r="N149" s="9" t="s">
        <v>45</v>
      </c>
      <c r="O149" s="9" t="s">
        <v>45</v>
      </c>
      <c r="P149" s="9" t="s">
        <v>45</v>
      </c>
      <c r="T149">
        <f>IF($E149="","",COUNTIF($E$2:$E149,$E149))</f>
        <v>63</v>
      </c>
      <c r="U149" t="str">
        <f t="shared" si="2"/>
        <v>CLÁSICAS|63</v>
      </c>
    </row>
    <row r="150" spans="1:21" x14ac:dyDescent="0.25">
      <c r="A150" s="9" t="s">
        <v>210</v>
      </c>
      <c r="B150" s="94">
        <v>46255</v>
      </c>
      <c r="C150" s="9" t="s">
        <v>58</v>
      </c>
      <c r="D150" s="9" t="s">
        <v>40</v>
      </c>
      <c r="E150" s="9" t="s">
        <v>60</v>
      </c>
      <c r="F150" s="47">
        <v>0.41666666666666702</v>
      </c>
      <c r="G150" s="45">
        <v>955</v>
      </c>
      <c r="H150" s="45">
        <v>995</v>
      </c>
      <c r="I150" s="45">
        <v>965.15</v>
      </c>
      <c r="J150" s="45">
        <v>1024.8499999999999</v>
      </c>
      <c r="L150" s="9" t="s">
        <v>45</v>
      </c>
      <c r="M150" s="9" t="s">
        <v>45</v>
      </c>
      <c r="N150" s="9" t="s">
        <v>45</v>
      </c>
      <c r="O150" s="9" t="s">
        <v>45</v>
      </c>
      <c r="P150" s="9" t="s">
        <v>45</v>
      </c>
      <c r="T150">
        <f>IF($E150="","",COUNTIF($E$2:$E150,$E150))</f>
        <v>56</v>
      </c>
      <c r="U150" t="str">
        <f t="shared" si="2"/>
        <v>CERVICALES|56</v>
      </c>
    </row>
    <row r="151" spans="1:21" x14ac:dyDescent="0.25">
      <c r="A151" s="9" t="s">
        <v>211</v>
      </c>
      <c r="B151" s="94">
        <v>46255</v>
      </c>
      <c r="C151" s="9" t="s">
        <v>58</v>
      </c>
      <c r="D151" s="9" t="s">
        <v>40</v>
      </c>
      <c r="E151" s="9" t="s">
        <v>60</v>
      </c>
      <c r="F151" s="47">
        <v>0.45833333333333298</v>
      </c>
      <c r="G151" s="45">
        <v>955</v>
      </c>
      <c r="H151" s="45">
        <v>995</v>
      </c>
      <c r="I151" s="45">
        <v>965.15</v>
      </c>
      <c r="J151" s="45">
        <v>1024.8499999999999</v>
      </c>
      <c r="L151" s="9" t="s">
        <v>45</v>
      </c>
      <c r="M151" s="9" t="s">
        <v>45</v>
      </c>
      <c r="N151" s="9" t="s">
        <v>45</v>
      </c>
      <c r="O151" s="9" t="s">
        <v>45</v>
      </c>
      <c r="P151" s="9" t="s">
        <v>45</v>
      </c>
      <c r="T151">
        <f>IF($E151="","",COUNTIF($E$2:$E151,$E151))</f>
        <v>57</v>
      </c>
      <c r="U151" t="str">
        <f t="shared" si="2"/>
        <v>CERVICALES|57</v>
      </c>
    </row>
    <row r="152" spans="1:21" x14ac:dyDescent="0.25">
      <c r="A152" s="9" t="s">
        <v>212</v>
      </c>
      <c r="B152" s="94">
        <v>46255</v>
      </c>
      <c r="C152" s="9" t="s">
        <v>58</v>
      </c>
      <c r="D152" s="9" t="s">
        <v>40</v>
      </c>
      <c r="E152" s="9" t="s">
        <v>7</v>
      </c>
      <c r="F152" s="47">
        <v>0.45833333333333298</v>
      </c>
      <c r="G152" s="45">
        <v>970</v>
      </c>
      <c r="H152" s="45">
        <v>1008</v>
      </c>
      <c r="I152" s="45">
        <v>977.76</v>
      </c>
      <c r="J152" s="45">
        <v>1038.24</v>
      </c>
      <c r="L152" s="9" t="s">
        <v>45</v>
      </c>
      <c r="M152" s="9" t="s">
        <v>45</v>
      </c>
      <c r="N152" s="9" t="s">
        <v>45</v>
      </c>
      <c r="O152" s="9" t="s">
        <v>45</v>
      </c>
      <c r="P152" s="9" t="s">
        <v>45</v>
      </c>
      <c r="T152">
        <f>IF($E152="","",COUNTIF($E$2:$E152,$E152))</f>
        <v>64</v>
      </c>
      <c r="U152" t="str">
        <f t="shared" si="2"/>
        <v>CLÁSICAS|64</v>
      </c>
    </row>
    <row r="153" spans="1:21" x14ac:dyDescent="0.25">
      <c r="A153" s="9" t="s">
        <v>213</v>
      </c>
      <c r="B153" s="94">
        <v>46255</v>
      </c>
      <c r="C153" s="9" t="s">
        <v>58</v>
      </c>
      <c r="D153" s="9" t="s">
        <v>40</v>
      </c>
      <c r="E153" s="9" t="s">
        <v>7</v>
      </c>
      <c r="F153" s="47">
        <v>0.5</v>
      </c>
      <c r="G153" s="45">
        <v>970</v>
      </c>
      <c r="H153" s="45">
        <v>1008</v>
      </c>
      <c r="I153" s="45">
        <v>977.76</v>
      </c>
      <c r="J153" s="45">
        <v>1038.24</v>
      </c>
      <c r="L153" s="9" t="s">
        <v>45</v>
      </c>
      <c r="M153" s="9" t="s">
        <v>45</v>
      </c>
      <c r="N153" s="9" t="s">
        <v>45</v>
      </c>
      <c r="O153" s="9" t="s">
        <v>45</v>
      </c>
      <c r="P153" s="9" t="s">
        <v>45</v>
      </c>
      <c r="T153">
        <f>IF($E153="","",COUNTIF($E$2:$E153,$E153))</f>
        <v>65</v>
      </c>
      <c r="U153" t="str">
        <f t="shared" si="2"/>
        <v>CLÁSICAS|65</v>
      </c>
    </row>
    <row r="154" spans="1:21" x14ac:dyDescent="0.25">
      <c r="A154" s="9" t="s">
        <v>214</v>
      </c>
      <c r="B154" s="94">
        <v>46255</v>
      </c>
      <c r="C154" s="9" t="s">
        <v>58</v>
      </c>
      <c r="D154" s="9" t="s">
        <v>40</v>
      </c>
      <c r="E154" s="9" t="s">
        <v>60</v>
      </c>
      <c r="F154" s="47">
        <v>0.5</v>
      </c>
      <c r="G154" s="45">
        <v>950</v>
      </c>
      <c r="H154" s="45">
        <v>995</v>
      </c>
      <c r="I154" s="45">
        <v>965.15</v>
      </c>
      <c r="J154" s="45">
        <v>1024.8499999999999</v>
      </c>
      <c r="L154" s="9" t="s">
        <v>45</v>
      </c>
      <c r="M154" s="9" t="s">
        <v>45</v>
      </c>
      <c r="N154" s="9" t="s">
        <v>45</v>
      </c>
      <c r="O154" s="9" t="s">
        <v>45</v>
      </c>
      <c r="P154" s="9" t="s">
        <v>45</v>
      </c>
      <c r="T154">
        <f>IF($E154="","",COUNTIF($E$2:$E154,$E154))</f>
        <v>58</v>
      </c>
      <c r="U154" t="str">
        <f t="shared" si="2"/>
        <v>CERVICALES|58</v>
      </c>
    </row>
    <row r="155" spans="1:21" x14ac:dyDescent="0.25">
      <c r="A155" s="9" t="s">
        <v>215</v>
      </c>
      <c r="B155" s="94">
        <v>46255</v>
      </c>
      <c r="C155" s="9" t="s">
        <v>58</v>
      </c>
      <c r="D155" s="9" t="s">
        <v>40</v>
      </c>
      <c r="E155" s="9" t="s">
        <v>60</v>
      </c>
      <c r="F155" s="47">
        <v>0.54166666666666696</v>
      </c>
      <c r="G155" s="45">
        <v>950</v>
      </c>
      <c r="H155" s="45">
        <v>995</v>
      </c>
      <c r="I155" s="45">
        <v>965.15</v>
      </c>
      <c r="J155" s="45">
        <v>1024.8499999999999</v>
      </c>
      <c r="L155" s="9" t="s">
        <v>45</v>
      </c>
      <c r="M155" s="9" t="s">
        <v>45</v>
      </c>
      <c r="N155" s="9" t="s">
        <v>45</v>
      </c>
      <c r="O155" s="9" t="s">
        <v>45</v>
      </c>
      <c r="P155" s="9" t="s">
        <v>45</v>
      </c>
      <c r="T155">
        <f>IF($E155="","",COUNTIF($E$2:$E155,$E155))</f>
        <v>59</v>
      </c>
      <c r="U155" t="str">
        <f t="shared" si="2"/>
        <v>CERVICALES|59</v>
      </c>
    </row>
    <row r="156" spans="1:21" x14ac:dyDescent="0.25">
      <c r="A156" s="9" t="s">
        <v>216</v>
      </c>
      <c r="B156" s="94">
        <v>46255</v>
      </c>
      <c r="C156" s="9" t="s">
        <v>58</v>
      </c>
      <c r="D156" s="9" t="s">
        <v>40</v>
      </c>
      <c r="E156" s="9" t="s">
        <v>7</v>
      </c>
      <c r="F156" s="47">
        <v>0.54166666666666696</v>
      </c>
      <c r="G156" s="45">
        <v>965</v>
      </c>
      <c r="H156" s="45">
        <v>1008</v>
      </c>
      <c r="I156" s="45">
        <v>977.76</v>
      </c>
      <c r="J156" s="45">
        <v>1038.24</v>
      </c>
      <c r="L156" s="9" t="s">
        <v>45</v>
      </c>
      <c r="M156" s="9" t="s">
        <v>45</v>
      </c>
      <c r="N156" s="9" t="s">
        <v>45</v>
      </c>
      <c r="O156" s="9" t="s">
        <v>45</v>
      </c>
      <c r="P156" s="9" t="s">
        <v>45</v>
      </c>
      <c r="T156">
        <f>IF($E156="","",COUNTIF($E$2:$E156,$E156))</f>
        <v>66</v>
      </c>
      <c r="U156" t="str">
        <f t="shared" si="2"/>
        <v>CLÁSICAS|66</v>
      </c>
    </row>
    <row r="157" spans="1:21" x14ac:dyDescent="0.25">
      <c r="A157" s="9" t="s">
        <v>217</v>
      </c>
      <c r="B157" s="94">
        <v>46258</v>
      </c>
      <c r="C157" s="9" t="s">
        <v>58</v>
      </c>
      <c r="D157" s="9" t="s">
        <v>40</v>
      </c>
      <c r="E157" s="9" t="s">
        <v>7</v>
      </c>
      <c r="F157" s="47">
        <v>0.41666666666666702</v>
      </c>
      <c r="G157" s="45">
        <v>965</v>
      </c>
      <c r="H157" s="45">
        <v>1008</v>
      </c>
      <c r="I157" s="45">
        <v>977.76</v>
      </c>
      <c r="J157" s="45">
        <v>1038.24</v>
      </c>
      <c r="L157" s="9" t="s">
        <v>45</v>
      </c>
      <c r="M157" s="9" t="s">
        <v>45</v>
      </c>
      <c r="N157" s="9" t="s">
        <v>45</v>
      </c>
      <c r="O157" s="9" t="s">
        <v>45</v>
      </c>
      <c r="P157" s="9" t="s">
        <v>45</v>
      </c>
      <c r="T157">
        <f>IF($E157="","",COUNTIF($E$2:$E157,$E157))</f>
        <v>67</v>
      </c>
      <c r="U157" t="str">
        <f t="shared" si="2"/>
        <v>CLÁSICAS|67</v>
      </c>
    </row>
    <row r="158" spans="1:21" x14ac:dyDescent="0.25">
      <c r="A158" s="9" t="s">
        <v>218</v>
      </c>
      <c r="B158" s="94">
        <v>46258</v>
      </c>
      <c r="C158" s="9" t="s">
        <v>58</v>
      </c>
      <c r="D158" s="9" t="s">
        <v>40</v>
      </c>
      <c r="E158" s="9" t="s">
        <v>60</v>
      </c>
      <c r="F158" s="47">
        <v>0.41666666666666702</v>
      </c>
      <c r="G158" s="45">
        <v>955</v>
      </c>
      <c r="H158" s="45">
        <v>995</v>
      </c>
      <c r="I158" s="45">
        <v>965.15</v>
      </c>
      <c r="J158" s="45">
        <v>1024.8499999999999</v>
      </c>
      <c r="L158" s="9" t="s">
        <v>45</v>
      </c>
      <c r="M158" s="9" t="s">
        <v>45</v>
      </c>
      <c r="N158" s="9" t="s">
        <v>45</v>
      </c>
      <c r="O158" s="9" t="s">
        <v>45</v>
      </c>
      <c r="P158" s="9" t="s">
        <v>45</v>
      </c>
      <c r="T158">
        <f>IF($E158="","",COUNTIF($E$2:$E158,$E158))</f>
        <v>60</v>
      </c>
      <c r="U158" t="str">
        <f t="shared" si="2"/>
        <v>CERVICALES|60</v>
      </c>
    </row>
    <row r="159" spans="1:21" x14ac:dyDescent="0.25">
      <c r="A159" s="9" t="s">
        <v>219</v>
      </c>
      <c r="B159" s="94">
        <v>46258</v>
      </c>
      <c r="C159" s="9" t="s">
        <v>58</v>
      </c>
      <c r="D159" s="9" t="s">
        <v>40</v>
      </c>
      <c r="E159" s="9" t="s">
        <v>60</v>
      </c>
      <c r="F159" s="47">
        <v>0.45833333333333298</v>
      </c>
      <c r="G159" s="45">
        <v>955</v>
      </c>
      <c r="H159" s="45">
        <v>995</v>
      </c>
      <c r="I159" s="45">
        <v>965.15</v>
      </c>
      <c r="J159" s="45">
        <v>1024.8499999999999</v>
      </c>
      <c r="L159" s="9" t="s">
        <v>45</v>
      </c>
      <c r="M159" s="9" t="s">
        <v>45</v>
      </c>
      <c r="N159" s="9" t="s">
        <v>45</v>
      </c>
      <c r="O159" s="9" t="s">
        <v>45</v>
      </c>
      <c r="P159" s="9" t="s">
        <v>45</v>
      </c>
      <c r="T159">
        <f>IF($E159="","",COUNTIF($E$2:$E159,$E159))</f>
        <v>61</v>
      </c>
      <c r="U159" t="str">
        <f t="shared" si="2"/>
        <v>CERVICALES|61</v>
      </c>
    </row>
    <row r="160" spans="1:21" x14ac:dyDescent="0.25">
      <c r="A160" s="9" t="s">
        <v>220</v>
      </c>
      <c r="B160" s="94">
        <v>46258</v>
      </c>
      <c r="C160" s="9" t="s">
        <v>58</v>
      </c>
      <c r="D160" s="9" t="s">
        <v>40</v>
      </c>
      <c r="E160" s="9" t="s">
        <v>7</v>
      </c>
      <c r="F160" s="47">
        <v>0.45833333333333298</v>
      </c>
      <c r="G160" s="45">
        <v>970</v>
      </c>
      <c r="H160" s="45">
        <v>1008</v>
      </c>
      <c r="I160" s="45">
        <v>977.76</v>
      </c>
      <c r="J160" s="45">
        <v>1038.24</v>
      </c>
      <c r="L160" s="9" t="s">
        <v>45</v>
      </c>
      <c r="M160" s="9" t="s">
        <v>45</v>
      </c>
      <c r="N160" s="9" t="s">
        <v>45</v>
      </c>
      <c r="O160" s="9" t="s">
        <v>45</v>
      </c>
      <c r="P160" s="9" t="s">
        <v>45</v>
      </c>
      <c r="T160">
        <f>IF($E160="","",COUNTIF($E$2:$E160,$E160))</f>
        <v>68</v>
      </c>
      <c r="U160" t="str">
        <f t="shared" si="2"/>
        <v>CLÁSICAS|68</v>
      </c>
    </row>
    <row r="161" spans="1:21" x14ac:dyDescent="0.25">
      <c r="A161" s="9" t="s">
        <v>221</v>
      </c>
      <c r="B161" s="94">
        <v>46258</v>
      </c>
      <c r="C161" s="9" t="s">
        <v>58</v>
      </c>
      <c r="D161" s="9" t="s">
        <v>40</v>
      </c>
      <c r="E161" s="9" t="s">
        <v>7</v>
      </c>
      <c r="F161" s="47">
        <v>0.5</v>
      </c>
      <c r="G161" s="45">
        <v>970</v>
      </c>
      <c r="H161" s="45">
        <v>1008</v>
      </c>
      <c r="I161" s="45">
        <v>977.76</v>
      </c>
      <c r="J161" s="45">
        <v>1038.24</v>
      </c>
      <c r="L161" s="9" t="s">
        <v>45</v>
      </c>
      <c r="M161" s="9" t="s">
        <v>45</v>
      </c>
      <c r="N161" s="9" t="s">
        <v>45</v>
      </c>
      <c r="O161" s="9" t="s">
        <v>45</v>
      </c>
      <c r="P161" s="9" t="s">
        <v>45</v>
      </c>
      <c r="T161">
        <f>IF($E161="","",COUNTIF($E$2:$E161,$E161))</f>
        <v>69</v>
      </c>
      <c r="U161" t="str">
        <f t="shared" si="2"/>
        <v>CLÁSICAS|69</v>
      </c>
    </row>
    <row r="162" spans="1:21" x14ac:dyDescent="0.25">
      <c r="A162" s="9" t="s">
        <v>222</v>
      </c>
      <c r="B162" s="94">
        <v>46258</v>
      </c>
      <c r="C162" s="9" t="s">
        <v>58</v>
      </c>
      <c r="D162" s="9" t="s">
        <v>40</v>
      </c>
      <c r="E162" s="9" t="s">
        <v>60</v>
      </c>
      <c r="F162" s="47">
        <v>0.5</v>
      </c>
      <c r="G162" s="45">
        <v>955</v>
      </c>
      <c r="H162" s="45">
        <v>995</v>
      </c>
      <c r="I162" s="45">
        <v>965.15</v>
      </c>
      <c r="J162" s="45">
        <v>1024.8499999999999</v>
      </c>
      <c r="L162" s="9" t="s">
        <v>45</v>
      </c>
      <c r="M162" s="9" t="s">
        <v>45</v>
      </c>
      <c r="N162" s="9" t="s">
        <v>45</v>
      </c>
      <c r="O162" s="9" t="s">
        <v>45</v>
      </c>
      <c r="P162" s="9" t="s">
        <v>45</v>
      </c>
      <c r="T162">
        <f>IF($E162="","",COUNTIF($E$2:$E162,$E162))</f>
        <v>62</v>
      </c>
      <c r="U162" t="str">
        <f t="shared" si="2"/>
        <v>CERVICALES|62</v>
      </c>
    </row>
    <row r="163" spans="1:21" x14ac:dyDescent="0.25">
      <c r="A163" s="9" t="s">
        <v>223</v>
      </c>
      <c r="B163" s="94">
        <v>46259</v>
      </c>
      <c r="C163" s="9" t="s">
        <v>58</v>
      </c>
      <c r="D163" s="9" t="s">
        <v>40</v>
      </c>
      <c r="E163" s="9" t="s">
        <v>60</v>
      </c>
      <c r="F163" s="47">
        <v>0.25</v>
      </c>
      <c r="G163" s="45">
        <v>955</v>
      </c>
      <c r="H163" s="45">
        <v>995</v>
      </c>
      <c r="I163" s="45">
        <v>965.15</v>
      </c>
      <c r="J163" s="45">
        <v>1024.8499999999999</v>
      </c>
      <c r="L163" s="9" t="s">
        <v>45</v>
      </c>
      <c r="M163" s="9" t="s">
        <v>45</v>
      </c>
      <c r="N163" s="9" t="s">
        <v>45</v>
      </c>
      <c r="O163" s="9" t="s">
        <v>45</v>
      </c>
      <c r="P163" s="9" t="s">
        <v>45</v>
      </c>
      <c r="T163">
        <f>IF($E163="","",COUNTIF($E$2:$E163,$E163))</f>
        <v>63</v>
      </c>
      <c r="U163" t="str">
        <f t="shared" si="2"/>
        <v>CERVICALES|63</v>
      </c>
    </row>
    <row r="164" spans="1:21" x14ac:dyDescent="0.25">
      <c r="A164" s="9" t="s">
        <v>224</v>
      </c>
      <c r="B164" s="94">
        <v>46259</v>
      </c>
      <c r="C164" s="9" t="s">
        <v>58</v>
      </c>
      <c r="D164" s="9" t="s">
        <v>40</v>
      </c>
      <c r="E164" s="9" t="s">
        <v>7</v>
      </c>
      <c r="F164" s="47">
        <v>0.25</v>
      </c>
      <c r="G164" s="45">
        <v>970</v>
      </c>
      <c r="H164" s="45">
        <v>1008</v>
      </c>
      <c r="I164" s="45">
        <v>977.76</v>
      </c>
      <c r="J164" s="45">
        <v>1038.24</v>
      </c>
      <c r="L164" s="9" t="s">
        <v>45</v>
      </c>
      <c r="M164" s="9" t="s">
        <v>45</v>
      </c>
      <c r="N164" s="9" t="s">
        <v>45</v>
      </c>
      <c r="O164" s="9" t="s">
        <v>45</v>
      </c>
      <c r="P164" s="9" t="s">
        <v>45</v>
      </c>
      <c r="T164">
        <f>IF($E164="","",COUNTIF($E$2:$E164,$E164))</f>
        <v>70</v>
      </c>
      <c r="U164" t="str">
        <f t="shared" si="2"/>
        <v>CLÁSICAS|70</v>
      </c>
    </row>
    <row r="165" spans="1:21" x14ac:dyDescent="0.25">
      <c r="A165" s="9" t="s">
        <v>225</v>
      </c>
      <c r="B165" s="94">
        <v>46259</v>
      </c>
      <c r="C165" s="9" t="s">
        <v>58</v>
      </c>
      <c r="D165" s="9" t="s">
        <v>40</v>
      </c>
      <c r="E165" s="9" t="s">
        <v>185</v>
      </c>
      <c r="F165" s="47">
        <v>0.25</v>
      </c>
      <c r="G165" s="45">
        <v>770</v>
      </c>
      <c r="H165" s="45">
        <v>795</v>
      </c>
      <c r="I165" s="45">
        <v>771.15</v>
      </c>
      <c r="J165" s="45">
        <v>818.85</v>
      </c>
      <c r="L165" s="9" t="s">
        <v>45</v>
      </c>
      <c r="M165" s="9" t="s">
        <v>45</v>
      </c>
      <c r="N165" s="9" t="s">
        <v>45</v>
      </c>
      <c r="O165" s="9" t="s">
        <v>45</v>
      </c>
      <c r="P165" s="9" t="s">
        <v>45</v>
      </c>
      <c r="T165">
        <f>IF($E165="","",COUNTIF($E$2:$E165,$E165))</f>
        <v>7</v>
      </c>
      <c r="U165" t="str">
        <f t="shared" si="2"/>
        <v>PROMOS|7</v>
      </c>
    </row>
    <row r="166" spans="1:21" x14ac:dyDescent="0.25">
      <c r="A166" s="9" t="s">
        <v>226</v>
      </c>
      <c r="B166" s="94">
        <v>46259</v>
      </c>
      <c r="C166" s="9" t="s">
        <v>58</v>
      </c>
      <c r="D166" s="9" t="s">
        <v>40</v>
      </c>
      <c r="E166" s="9" t="s">
        <v>185</v>
      </c>
      <c r="F166" s="47">
        <v>0.29166666666666702</v>
      </c>
      <c r="G166" s="45">
        <v>770</v>
      </c>
      <c r="H166" s="45">
        <v>795</v>
      </c>
      <c r="I166" s="45">
        <v>771.15</v>
      </c>
      <c r="J166" s="45">
        <v>818.85</v>
      </c>
      <c r="L166" s="9" t="s">
        <v>45</v>
      </c>
      <c r="M166" s="9" t="s">
        <v>45</v>
      </c>
      <c r="N166" s="9" t="s">
        <v>45</v>
      </c>
      <c r="O166" s="9" t="s">
        <v>45</v>
      </c>
      <c r="P166" s="9" t="s">
        <v>45</v>
      </c>
      <c r="T166">
        <f>IF($E166="","",COUNTIF($E$2:$E166,$E166))</f>
        <v>8</v>
      </c>
      <c r="U166" t="str">
        <f t="shared" si="2"/>
        <v>PROMOS|8</v>
      </c>
    </row>
    <row r="167" spans="1:21" x14ac:dyDescent="0.25">
      <c r="A167" s="9" t="s">
        <v>227</v>
      </c>
      <c r="B167" s="94">
        <v>46259</v>
      </c>
      <c r="C167" s="9" t="s">
        <v>58</v>
      </c>
      <c r="D167" s="9" t="s">
        <v>40</v>
      </c>
      <c r="E167" s="9" t="s">
        <v>60</v>
      </c>
      <c r="F167" s="47">
        <v>0.29166666666666702</v>
      </c>
      <c r="G167" s="45">
        <v>955</v>
      </c>
      <c r="H167" s="45">
        <v>995</v>
      </c>
      <c r="I167" s="45">
        <v>965.15</v>
      </c>
      <c r="J167" s="45">
        <v>1024.8499999999999</v>
      </c>
      <c r="L167" s="9" t="s">
        <v>45</v>
      </c>
      <c r="M167" s="9" t="s">
        <v>45</v>
      </c>
      <c r="N167" s="9" t="s">
        <v>45</v>
      </c>
      <c r="O167" s="9" t="s">
        <v>45</v>
      </c>
      <c r="P167" s="9" t="s">
        <v>45</v>
      </c>
      <c r="T167">
        <f>IF($E167="","",COUNTIF($E$2:$E167,$E167))</f>
        <v>64</v>
      </c>
      <c r="U167" t="str">
        <f t="shared" si="2"/>
        <v>CERVICALES|64</v>
      </c>
    </row>
    <row r="168" spans="1:21" x14ac:dyDescent="0.25">
      <c r="A168" s="9" t="s">
        <v>228</v>
      </c>
      <c r="B168" s="94">
        <v>46259</v>
      </c>
      <c r="C168" s="9" t="s">
        <v>58</v>
      </c>
      <c r="D168" s="9" t="s">
        <v>40</v>
      </c>
      <c r="E168" s="9" t="s">
        <v>7</v>
      </c>
      <c r="F168" s="47">
        <v>0.29166666666666702</v>
      </c>
      <c r="G168" s="45">
        <v>970</v>
      </c>
      <c r="H168" s="45">
        <v>1008</v>
      </c>
      <c r="I168" s="45">
        <v>977.76</v>
      </c>
      <c r="J168" s="45">
        <v>1038.24</v>
      </c>
      <c r="L168" s="9" t="s">
        <v>45</v>
      </c>
      <c r="M168" s="9" t="s">
        <v>45</v>
      </c>
      <c r="N168" s="9" t="s">
        <v>45</v>
      </c>
      <c r="O168" s="9" t="s">
        <v>45</v>
      </c>
      <c r="P168" s="9" t="s">
        <v>45</v>
      </c>
      <c r="T168">
        <f>IF($E168="","",COUNTIF($E$2:$E168,$E168))</f>
        <v>71</v>
      </c>
      <c r="U168" t="str">
        <f t="shared" si="2"/>
        <v>CLÁSICAS|71</v>
      </c>
    </row>
    <row r="169" spans="1:21" x14ac:dyDescent="0.25">
      <c r="A169" s="9" t="s">
        <v>229</v>
      </c>
      <c r="B169" s="94">
        <v>46259</v>
      </c>
      <c r="C169" s="9" t="s">
        <v>58</v>
      </c>
      <c r="D169" s="9" t="s">
        <v>40</v>
      </c>
      <c r="E169" s="9" t="s">
        <v>7</v>
      </c>
      <c r="F169" s="47">
        <v>0.33333333333333298</v>
      </c>
      <c r="G169" s="45">
        <v>970</v>
      </c>
      <c r="H169" s="45">
        <v>1008</v>
      </c>
      <c r="I169" s="45">
        <v>977.76</v>
      </c>
      <c r="J169" s="45">
        <v>1038.24</v>
      </c>
      <c r="L169" s="9" t="s">
        <v>45</v>
      </c>
      <c r="M169" s="9" t="s">
        <v>45</v>
      </c>
      <c r="N169" s="9" t="s">
        <v>45</v>
      </c>
      <c r="O169" s="9" t="s">
        <v>45</v>
      </c>
      <c r="P169" s="9" t="s">
        <v>45</v>
      </c>
      <c r="T169">
        <f>IF($E169="","",COUNTIF($E$2:$E169,$E169))</f>
        <v>72</v>
      </c>
      <c r="U169" t="str">
        <f t="shared" si="2"/>
        <v>CLÁSICAS|72</v>
      </c>
    </row>
    <row r="170" spans="1:21" x14ac:dyDescent="0.25">
      <c r="A170" s="9" t="s">
        <v>230</v>
      </c>
      <c r="B170" s="94">
        <v>46259</v>
      </c>
      <c r="C170" s="9" t="s">
        <v>58</v>
      </c>
      <c r="D170" s="9" t="s">
        <v>40</v>
      </c>
      <c r="E170" s="9" t="s">
        <v>60</v>
      </c>
      <c r="F170" s="47">
        <v>0.33333333333333298</v>
      </c>
      <c r="G170" s="45">
        <v>955</v>
      </c>
      <c r="H170" s="45">
        <v>995</v>
      </c>
      <c r="I170" s="45">
        <v>965.15</v>
      </c>
      <c r="J170" s="45">
        <v>1024.8499999999999</v>
      </c>
      <c r="L170" s="9" t="s">
        <v>45</v>
      </c>
      <c r="M170" s="9" t="s">
        <v>45</v>
      </c>
      <c r="N170" s="9" t="s">
        <v>45</v>
      </c>
      <c r="O170" s="9" t="s">
        <v>45</v>
      </c>
      <c r="P170" s="9" t="s">
        <v>45</v>
      </c>
      <c r="T170">
        <f>IF($E170="","",COUNTIF($E$2:$E170,$E170))</f>
        <v>65</v>
      </c>
      <c r="U170" t="str">
        <f t="shared" si="2"/>
        <v>CERVICALES|65</v>
      </c>
    </row>
    <row r="171" spans="1:21" x14ac:dyDescent="0.25">
      <c r="A171" s="9" t="s">
        <v>231</v>
      </c>
      <c r="B171" s="94">
        <v>46259</v>
      </c>
      <c r="C171" s="9" t="s">
        <v>58</v>
      </c>
      <c r="D171" s="9" t="s">
        <v>40</v>
      </c>
      <c r="E171" s="9" t="s">
        <v>185</v>
      </c>
      <c r="F171" s="47">
        <v>0.33333333333333298</v>
      </c>
      <c r="G171" s="45">
        <v>760</v>
      </c>
      <c r="H171" s="45">
        <v>795</v>
      </c>
      <c r="I171" s="45">
        <v>771.15</v>
      </c>
      <c r="J171" s="45">
        <v>818.85</v>
      </c>
      <c r="L171" s="9" t="s">
        <v>45</v>
      </c>
      <c r="M171" s="9" t="s">
        <v>45</v>
      </c>
      <c r="N171" s="9" t="s">
        <v>45</v>
      </c>
      <c r="O171" s="9" t="s">
        <v>45</v>
      </c>
      <c r="P171" s="9" t="s">
        <v>45</v>
      </c>
      <c r="T171">
        <f>IF($E171="","",COUNTIF($E$2:$E171,$E171))</f>
        <v>9</v>
      </c>
      <c r="U171" t="str">
        <f t="shared" si="2"/>
        <v>PROMOS|9</v>
      </c>
    </row>
    <row r="172" spans="1:21" x14ac:dyDescent="0.25">
      <c r="A172" s="9" t="s">
        <v>232</v>
      </c>
      <c r="B172" s="94">
        <v>46259</v>
      </c>
      <c r="C172" s="9" t="s">
        <v>58</v>
      </c>
      <c r="D172" s="9" t="s">
        <v>40</v>
      </c>
      <c r="E172" s="9" t="s">
        <v>185</v>
      </c>
      <c r="F172" s="47">
        <v>0.375</v>
      </c>
      <c r="G172" s="45">
        <v>760</v>
      </c>
      <c r="H172" s="45">
        <v>795</v>
      </c>
      <c r="I172" s="45">
        <v>771.15</v>
      </c>
      <c r="J172" s="45">
        <v>818.85</v>
      </c>
      <c r="L172" s="9" t="s">
        <v>45</v>
      </c>
      <c r="M172" s="9" t="s">
        <v>45</v>
      </c>
      <c r="N172" s="9" t="s">
        <v>45</v>
      </c>
      <c r="O172" s="9" t="s">
        <v>45</v>
      </c>
      <c r="P172" s="9" t="s">
        <v>45</v>
      </c>
      <c r="T172">
        <f>IF($E172="","",COUNTIF($E$2:$E172,$E172))</f>
        <v>10</v>
      </c>
      <c r="U172" t="str">
        <f t="shared" si="2"/>
        <v>PROMOS|10</v>
      </c>
    </row>
    <row r="173" spans="1:21" x14ac:dyDescent="0.25">
      <c r="A173" s="9" t="s">
        <v>233</v>
      </c>
      <c r="B173" s="94">
        <v>46259</v>
      </c>
      <c r="C173" s="9" t="s">
        <v>58</v>
      </c>
      <c r="D173" s="9" t="s">
        <v>40</v>
      </c>
      <c r="E173" s="9" t="s">
        <v>7</v>
      </c>
      <c r="F173" s="47">
        <v>0.375</v>
      </c>
      <c r="G173" s="45">
        <v>970</v>
      </c>
      <c r="H173" s="45">
        <v>1008</v>
      </c>
      <c r="I173" s="45">
        <v>977.76</v>
      </c>
      <c r="J173" s="45">
        <v>1038.24</v>
      </c>
      <c r="L173" s="9" t="s">
        <v>45</v>
      </c>
      <c r="M173" s="9" t="s">
        <v>45</v>
      </c>
      <c r="N173" s="9" t="s">
        <v>45</v>
      </c>
      <c r="O173" s="9" t="s">
        <v>45</v>
      </c>
      <c r="P173" s="9" t="s">
        <v>45</v>
      </c>
      <c r="T173">
        <f>IF($E173="","",COUNTIF($E$2:$E173,$E173))</f>
        <v>73</v>
      </c>
      <c r="U173" t="str">
        <f t="shared" si="2"/>
        <v>CLÁSICAS|73</v>
      </c>
    </row>
    <row r="174" spans="1:21" x14ac:dyDescent="0.25">
      <c r="A174" s="9" t="s">
        <v>234</v>
      </c>
      <c r="B174" s="94">
        <v>46259</v>
      </c>
      <c r="C174" s="9" t="s">
        <v>58</v>
      </c>
      <c r="D174" s="9" t="s">
        <v>40</v>
      </c>
      <c r="E174" s="9" t="s">
        <v>60</v>
      </c>
      <c r="F174" s="47">
        <v>0.375</v>
      </c>
      <c r="G174" s="45">
        <v>955</v>
      </c>
      <c r="H174" s="45">
        <v>995</v>
      </c>
      <c r="I174" s="45">
        <v>965.15</v>
      </c>
      <c r="J174" s="45">
        <v>1024.8499999999999</v>
      </c>
      <c r="L174" s="9" t="s">
        <v>45</v>
      </c>
      <c r="M174" s="9" t="s">
        <v>45</v>
      </c>
      <c r="N174" s="9" t="s">
        <v>45</v>
      </c>
      <c r="O174" s="9" t="s">
        <v>45</v>
      </c>
      <c r="P174" s="9" t="s">
        <v>45</v>
      </c>
      <c r="T174">
        <f>IF($E174="","",COUNTIF($E$2:$E174,$E174))</f>
        <v>66</v>
      </c>
      <c r="U174" t="str">
        <f t="shared" si="2"/>
        <v>CERVICALES|66</v>
      </c>
    </row>
    <row r="175" spans="1:21" x14ac:dyDescent="0.25">
      <c r="A175" s="9" t="s">
        <v>235</v>
      </c>
      <c r="B175" s="94">
        <v>46259</v>
      </c>
      <c r="C175" s="9" t="s">
        <v>58</v>
      </c>
      <c r="D175" s="9" t="s">
        <v>40</v>
      </c>
      <c r="E175" s="9" t="s">
        <v>60</v>
      </c>
      <c r="F175" s="47">
        <v>0.41666666666666702</v>
      </c>
      <c r="G175" s="45">
        <v>965</v>
      </c>
      <c r="H175" s="45">
        <v>995</v>
      </c>
      <c r="I175" s="45">
        <v>965.15</v>
      </c>
      <c r="J175" s="45">
        <v>1024.8499999999999</v>
      </c>
      <c r="L175" s="9" t="s">
        <v>45</v>
      </c>
      <c r="M175" s="9" t="s">
        <v>45</v>
      </c>
      <c r="N175" s="9" t="s">
        <v>45</v>
      </c>
      <c r="O175" s="9" t="s">
        <v>45</v>
      </c>
      <c r="P175" s="9" t="s">
        <v>45</v>
      </c>
      <c r="T175">
        <f>IF($E175="","",COUNTIF($E$2:$E175,$E175))</f>
        <v>67</v>
      </c>
      <c r="U175" t="str">
        <f t="shared" si="2"/>
        <v>CERVICALES|67</v>
      </c>
    </row>
    <row r="176" spans="1:21" x14ac:dyDescent="0.25">
      <c r="A176" s="9" t="s">
        <v>236</v>
      </c>
      <c r="B176" s="94">
        <v>46259</v>
      </c>
      <c r="C176" s="9" t="s">
        <v>58</v>
      </c>
      <c r="D176" s="9" t="s">
        <v>40</v>
      </c>
      <c r="E176" s="9" t="s">
        <v>185</v>
      </c>
      <c r="F176" s="47">
        <v>0.41666666666666702</v>
      </c>
      <c r="G176" s="45">
        <v>770</v>
      </c>
      <c r="H176" s="45">
        <v>795</v>
      </c>
      <c r="I176" s="45">
        <v>771.15</v>
      </c>
      <c r="J176" s="45">
        <v>818.85</v>
      </c>
      <c r="L176" s="9" t="s">
        <v>45</v>
      </c>
      <c r="M176" s="9" t="s">
        <v>45</v>
      </c>
      <c r="N176" s="9" t="s">
        <v>45</v>
      </c>
      <c r="O176" s="9" t="s">
        <v>45</v>
      </c>
      <c r="P176" s="9" t="s">
        <v>45</v>
      </c>
      <c r="T176">
        <f>IF($E176="","",COUNTIF($E$2:$E176,$E176))</f>
        <v>11</v>
      </c>
      <c r="U176" t="str">
        <f t="shared" si="2"/>
        <v>PROMOS|11</v>
      </c>
    </row>
    <row r="177" spans="1:21" x14ac:dyDescent="0.25">
      <c r="A177" s="9" t="s">
        <v>237</v>
      </c>
      <c r="B177" s="94">
        <v>46259</v>
      </c>
      <c r="C177" s="9" t="s">
        <v>58</v>
      </c>
      <c r="D177" s="9" t="s">
        <v>40</v>
      </c>
      <c r="E177" s="9" t="s">
        <v>185</v>
      </c>
      <c r="F177" s="47">
        <v>0.45833333333333298</v>
      </c>
      <c r="G177" s="45">
        <v>770</v>
      </c>
      <c r="H177" s="45">
        <v>795</v>
      </c>
      <c r="I177" s="45">
        <v>771.15</v>
      </c>
      <c r="J177" s="45">
        <v>818.85</v>
      </c>
      <c r="L177" s="9" t="s">
        <v>45</v>
      </c>
      <c r="M177" s="9" t="s">
        <v>45</v>
      </c>
      <c r="N177" s="9" t="s">
        <v>45</v>
      </c>
      <c r="O177" s="9" t="s">
        <v>45</v>
      </c>
      <c r="P177" s="9" t="s">
        <v>45</v>
      </c>
      <c r="T177">
        <f>IF($E177="","",COUNTIF($E$2:$E177,$E177))</f>
        <v>12</v>
      </c>
      <c r="U177" t="str">
        <f t="shared" si="2"/>
        <v>PROMOS|12</v>
      </c>
    </row>
    <row r="178" spans="1:21" x14ac:dyDescent="0.25">
      <c r="A178" s="9" t="s">
        <v>238</v>
      </c>
      <c r="B178" s="94">
        <v>46259</v>
      </c>
      <c r="C178" s="9" t="s">
        <v>58</v>
      </c>
      <c r="D178" s="9" t="s">
        <v>40</v>
      </c>
      <c r="E178" s="9" t="s">
        <v>7</v>
      </c>
      <c r="F178" s="47">
        <v>0.45833333333333298</v>
      </c>
      <c r="G178" s="45">
        <v>980</v>
      </c>
      <c r="H178" s="45">
        <v>1008</v>
      </c>
      <c r="I178" s="45">
        <v>977.76</v>
      </c>
      <c r="J178" s="45">
        <v>1038.24</v>
      </c>
      <c r="L178" s="9" t="s">
        <v>45</v>
      </c>
      <c r="M178" s="9" t="s">
        <v>45</v>
      </c>
      <c r="N178" s="9" t="s">
        <v>45</v>
      </c>
      <c r="O178" s="9" t="s">
        <v>45</v>
      </c>
      <c r="P178" s="9" t="s">
        <v>45</v>
      </c>
      <c r="T178">
        <f>IF($E178="","",COUNTIF($E$2:$E178,$E178))</f>
        <v>74</v>
      </c>
      <c r="U178" t="str">
        <f t="shared" si="2"/>
        <v>CLÁSICAS|74</v>
      </c>
    </row>
    <row r="179" spans="1:21" x14ac:dyDescent="0.25">
      <c r="A179" s="9" t="s">
        <v>239</v>
      </c>
      <c r="B179" s="94">
        <v>46259</v>
      </c>
      <c r="C179" s="9" t="s">
        <v>58</v>
      </c>
      <c r="D179" s="9" t="s">
        <v>40</v>
      </c>
      <c r="E179" s="9" t="s">
        <v>60</v>
      </c>
      <c r="F179" s="47">
        <v>0.45833333333333298</v>
      </c>
      <c r="G179" s="45">
        <v>955</v>
      </c>
      <c r="H179" s="45">
        <v>995</v>
      </c>
      <c r="I179" s="45">
        <v>965.15</v>
      </c>
      <c r="J179" s="45">
        <v>1024.8499999999999</v>
      </c>
      <c r="L179" s="9" t="s">
        <v>45</v>
      </c>
      <c r="M179" s="9" t="s">
        <v>45</v>
      </c>
      <c r="N179" s="9" t="s">
        <v>45</v>
      </c>
      <c r="O179" s="9" t="s">
        <v>45</v>
      </c>
      <c r="P179" s="9" t="s">
        <v>45</v>
      </c>
      <c r="T179">
        <f>IF($E179="","",COUNTIF($E$2:$E179,$E179))</f>
        <v>68</v>
      </c>
      <c r="U179" t="str">
        <f t="shared" si="2"/>
        <v>CERVICALES|68</v>
      </c>
    </row>
    <row r="180" spans="1:21" x14ac:dyDescent="0.25">
      <c r="A180" s="9" t="s">
        <v>240</v>
      </c>
      <c r="B180" s="94">
        <v>46259</v>
      </c>
      <c r="C180" s="9" t="s">
        <v>104</v>
      </c>
      <c r="D180" s="9" t="s">
        <v>40</v>
      </c>
      <c r="E180" s="9" t="s">
        <v>60</v>
      </c>
      <c r="F180" s="47">
        <v>0.5</v>
      </c>
      <c r="G180" s="45">
        <v>935</v>
      </c>
      <c r="H180" s="45">
        <v>995</v>
      </c>
      <c r="I180" s="45">
        <v>965.15</v>
      </c>
      <c r="J180" s="45">
        <v>1024.8499999999999</v>
      </c>
      <c r="L180" s="9" t="s">
        <v>45</v>
      </c>
      <c r="M180" s="9" t="s">
        <v>45</v>
      </c>
      <c r="N180" s="9" t="s">
        <v>45</v>
      </c>
      <c r="O180" s="9" t="s">
        <v>45</v>
      </c>
      <c r="P180" s="9" t="s">
        <v>45</v>
      </c>
      <c r="T180">
        <f>IF($E180="","",COUNTIF($E$2:$E180,$E180))</f>
        <v>69</v>
      </c>
      <c r="U180" t="str">
        <f t="shared" si="2"/>
        <v>CERVICALES|69</v>
      </c>
    </row>
    <row r="181" spans="1:21" x14ac:dyDescent="0.25">
      <c r="A181" s="9" t="s">
        <v>241</v>
      </c>
      <c r="B181" s="94">
        <v>46259</v>
      </c>
      <c r="C181" s="9" t="s">
        <v>104</v>
      </c>
      <c r="D181" s="9" t="s">
        <v>40</v>
      </c>
      <c r="E181" s="9" t="s">
        <v>60</v>
      </c>
      <c r="F181" s="47">
        <v>0.54166666666666696</v>
      </c>
      <c r="G181" s="45">
        <v>935</v>
      </c>
      <c r="H181" s="45">
        <v>995</v>
      </c>
      <c r="I181" s="45">
        <v>965.15</v>
      </c>
      <c r="J181" s="45">
        <v>1024.8499999999999</v>
      </c>
      <c r="L181" s="9" t="s">
        <v>45</v>
      </c>
      <c r="M181" s="9" t="s">
        <v>45</v>
      </c>
      <c r="N181" s="9" t="s">
        <v>45</v>
      </c>
      <c r="O181" s="9" t="s">
        <v>45</v>
      </c>
      <c r="P181" s="9" t="s">
        <v>45</v>
      </c>
      <c r="T181">
        <f>IF($E181="","",COUNTIF($E$2:$E181,$E181))</f>
        <v>70</v>
      </c>
      <c r="U181" t="str">
        <f t="shared" si="2"/>
        <v>CERVICALES|70</v>
      </c>
    </row>
    <row r="182" spans="1:21" x14ac:dyDescent="0.25">
      <c r="A182" s="9" t="s">
        <v>242</v>
      </c>
      <c r="B182" s="94">
        <v>46259</v>
      </c>
      <c r="C182" s="9" t="s">
        <v>104</v>
      </c>
      <c r="D182" s="9" t="s">
        <v>40</v>
      </c>
      <c r="E182" s="9" t="s">
        <v>7</v>
      </c>
      <c r="F182" s="47">
        <v>0.5</v>
      </c>
      <c r="G182" s="45">
        <v>935</v>
      </c>
      <c r="H182" s="45">
        <v>1008</v>
      </c>
      <c r="I182" s="45">
        <v>977.76</v>
      </c>
      <c r="J182" s="45">
        <v>1038.24</v>
      </c>
      <c r="L182" s="9" t="s">
        <v>45</v>
      </c>
      <c r="M182" s="9" t="s">
        <v>45</v>
      </c>
      <c r="N182" s="9" t="s">
        <v>45</v>
      </c>
      <c r="O182" s="9" t="s">
        <v>45</v>
      </c>
      <c r="P182" s="9" t="s">
        <v>45</v>
      </c>
      <c r="T182">
        <f>IF($E182="","",COUNTIF($E$2:$E182,$E182))</f>
        <v>75</v>
      </c>
      <c r="U182" t="str">
        <f t="shared" si="2"/>
        <v>CLÁSICAS|75</v>
      </c>
    </row>
    <row r="183" spans="1:21" x14ac:dyDescent="0.25">
      <c r="A183" s="9" t="s">
        <v>243</v>
      </c>
      <c r="B183" s="94">
        <v>46259</v>
      </c>
      <c r="C183" s="9" t="s">
        <v>104</v>
      </c>
      <c r="D183" s="9" t="s">
        <v>40</v>
      </c>
      <c r="E183" s="9" t="s">
        <v>7</v>
      </c>
      <c r="F183" s="47">
        <v>0.54166666666666696</v>
      </c>
      <c r="G183" s="45">
        <v>935</v>
      </c>
      <c r="H183" s="45">
        <v>1008</v>
      </c>
      <c r="I183" s="45">
        <v>977.76</v>
      </c>
      <c r="J183" s="45">
        <v>1038.24</v>
      </c>
      <c r="L183" s="9" t="s">
        <v>45</v>
      </c>
      <c r="M183" s="9" t="s">
        <v>45</v>
      </c>
      <c r="N183" s="9" t="s">
        <v>45</v>
      </c>
      <c r="O183" s="9" t="s">
        <v>45</v>
      </c>
      <c r="P183" s="9" t="s">
        <v>45</v>
      </c>
      <c r="T183">
        <f>IF($E183="","",COUNTIF($E$2:$E183,$E183))</f>
        <v>76</v>
      </c>
      <c r="U183" t="str">
        <f t="shared" si="2"/>
        <v>CLÁSICAS|76</v>
      </c>
    </row>
    <row r="184" spans="1:21" x14ac:dyDescent="0.25">
      <c r="A184" s="9" t="s">
        <v>244</v>
      </c>
      <c r="B184" s="94">
        <v>46260</v>
      </c>
      <c r="C184" s="9" t="s">
        <v>104</v>
      </c>
      <c r="D184" s="9" t="s">
        <v>40</v>
      </c>
      <c r="E184" s="9" t="s">
        <v>7</v>
      </c>
      <c r="F184" s="47">
        <v>0.25</v>
      </c>
      <c r="G184" s="45">
        <v>935</v>
      </c>
      <c r="H184" s="45">
        <v>1008</v>
      </c>
      <c r="I184" s="45">
        <v>977.76</v>
      </c>
      <c r="J184" s="45">
        <v>1038.24</v>
      </c>
      <c r="L184" s="9" t="s">
        <v>45</v>
      </c>
      <c r="M184" s="9" t="s">
        <v>45</v>
      </c>
      <c r="N184" s="9" t="s">
        <v>45</v>
      </c>
      <c r="O184" s="9" t="s">
        <v>45</v>
      </c>
      <c r="P184" s="9" t="s">
        <v>45</v>
      </c>
      <c r="T184">
        <f>IF($E184="","",COUNTIF($E$2:$E184,$E184))</f>
        <v>77</v>
      </c>
      <c r="U184" t="str">
        <f t="shared" si="2"/>
        <v>CLÁSICAS|77</v>
      </c>
    </row>
    <row r="185" spans="1:21" x14ac:dyDescent="0.25">
      <c r="A185" s="9" t="s">
        <v>245</v>
      </c>
      <c r="B185" s="94">
        <v>46260</v>
      </c>
      <c r="C185" s="9" t="s">
        <v>104</v>
      </c>
      <c r="D185" s="9" t="s">
        <v>40</v>
      </c>
      <c r="E185" s="9" t="s">
        <v>60</v>
      </c>
      <c r="F185" s="47">
        <v>0.25</v>
      </c>
      <c r="G185" s="45">
        <v>920</v>
      </c>
      <c r="H185" s="45">
        <v>995</v>
      </c>
      <c r="I185" s="45">
        <v>965.15</v>
      </c>
      <c r="J185" s="45">
        <v>1024.8499999999999</v>
      </c>
      <c r="L185" s="9" t="s">
        <v>45</v>
      </c>
      <c r="M185" s="9" t="s">
        <v>45</v>
      </c>
      <c r="N185" s="9" t="s">
        <v>45</v>
      </c>
      <c r="O185" s="9" t="s">
        <v>45</v>
      </c>
      <c r="P185" s="9" t="s">
        <v>45</v>
      </c>
      <c r="T185">
        <f>IF($E185="","",COUNTIF($E$2:$E185,$E185))</f>
        <v>71</v>
      </c>
      <c r="U185" t="str">
        <f t="shared" si="2"/>
        <v>CERVICALES|71</v>
      </c>
    </row>
    <row r="186" spans="1:21" x14ac:dyDescent="0.25">
      <c r="A186" s="9" t="s">
        <v>246</v>
      </c>
      <c r="B186" s="94">
        <v>46260</v>
      </c>
      <c r="C186" s="9" t="s">
        <v>104</v>
      </c>
      <c r="D186" s="9" t="s">
        <v>40</v>
      </c>
      <c r="E186" s="9" t="s">
        <v>60</v>
      </c>
      <c r="F186" s="47">
        <v>0.29166666666666702</v>
      </c>
      <c r="G186" s="45">
        <v>920</v>
      </c>
      <c r="H186" s="45">
        <v>995</v>
      </c>
      <c r="I186" s="45">
        <v>965.15</v>
      </c>
      <c r="J186" s="45">
        <v>1024.8499999999999</v>
      </c>
      <c r="L186" s="9" t="s">
        <v>45</v>
      </c>
      <c r="M186" s="9" t="s">
        <v>45</v>
      </c>
      <c r="N186" s="9" t="s">
        <v>45</v>
      </c>
      <c r="O186" s="9" t="s">
        <v>45</v>
      </c>
      <c r="P186" s="9" t="s">
        <v>45</v>
      </c>
      <c r="T186">
        <f>IF($E186="","",COUNTIF($E$2:$E186,$E186))</f>
        <v>72</v>
      </c>
      <c r="U186" t="str">
        <f t="shared" si="2"/>
        <v>CERVICALES|72</v>
      </c>
    </row>
    <row r="187" spans="1:21" x14ac:dyDescent="0.25">
      <c r="A187" s="9" t="s">
        <v>247</v>
      </c>
      <c r="B187" s="94">
        <v>46260</v>
      </c>
      <c r="C187" s="9" t="s">
        <v>104</v>
      </c>
      <c r="D187" s="9" t="s">
        <v>40</v>
      </c>
      <c r="E187" s="9" t="s">
        <v>7</v>
      </c>
      <c r="F187" s="47">
        <v>0.29166666666666702</v>
      </c>
      <c r="G187" s="45">
        <v>940</v>
      </c>
      <c r="H187" s="45">
        <v>1008</v>
      </c>
      <c r="I187" s="45">
        <v>977.76</v>
      </c>
      <c r="J187" s="45">
        <v>1038.24</v>
      </c>
      <c r="L187" s="9" t="s">
        <v>45</v>
      </c>
      <c r="M187" s="9" t="s">
        <v>45</v>
      </c>
      <c r="N187" s="9" t="s">
        <v>45</v>
      </c>
      <c r="O187" s="9" t="s">
        <v>45</v>
      </c>
      <c r="P187" s="9" t="s">
        <v>45</v>
      </c>
      <c r="T187">
        <f>IF($E187="","",COUNTIF($E$2:$E187,$E187))</f>
        <v>78</v>
      </c>
      <c r="U187" t="str">
        <f t="shared" si="2"/>
        <v>CLÁSICAS|78</v>
      </c>
    </row>
    <row r="188" spans="1:21" x14ac:dyDescent="0.25">
      <c r="A188" s="9" t="s">
        <v>248</v>
      </c>
      <c r="B188" s="94">
        <v>46260</v>
      </c>
      <c r="C188" s="9" t="s">
        <v>104</v>
      </c>
      <c r="D188" s="9" t="s">
        <v>40</v>
      </c>
      <c r="E188" s="9" t="s">
        <v>7</v>
      </c>
      <c r="F188" s="47">
        <v>0.33333333333333298</v>
      </c>
      <c r="G188" s="45">
        <v>940</v>
      </c>
      <c r="H188" s="45">
        <v>1008</v>
      </c>
      <c r="I188" s="45">
        <v>977.76</v>
      </c>
      <c r="J188" s="45">
        <v>1038.24</v>
      </c>
      <c r="L188" s="9" t="s">
        <v>45</v>
      </c>
      <c r="M188" s="9" t="s">
        <v>45</v>
      </c>
      <c r="N188" s="9" t="s">
        <v>45</v>
      </c>
      <c r="O188" s="9" t="s">
        <v>45</v>
      </c>
      <c r="P188" s="9" t="s">
        <v>45</v>
      </c>
      <c r="T188">
        <f>IF($E188="","",COUNTIF($E$2:$E188,$E188))</f>
        <v>79</v>
      </c>
      <c r="U188" t="str">
        <f t="shared" si="2"/>
        <v>CLÁSICAS|79</v>
      </c>
    </row>
    <row r="189" spans="1:21" x14ac:dyDescent="0.25">
      <c r="A189" s="9" t="s">
        <v>249</v>
      </c>
      <c r="B189" s="94">
        <v>46260</v>
      </c>
      <c r="C189" s="9" t="s">
        <v>104</v>
      </c>
      <c r="D189" s="9" t="s">
        <v>40</v>
      </c>
      <c r="E189" s="9" t="s">
        <v>60</v>
      </c>
      <c r="F189" s="47">
        <v>0.33333333333333298</v>
      </c>
      <c r="G189" s="45">
        <v>925</v>
      </c>
      <c r="H189" s="45">
        <v>995</v>
      </c>
      <c r="I189" s="45">
        <v>965.15</v>
      </c>
      <c r="J189" s="45">
        <v>1024.8499999999999</v>
      </c>
      <c r="L189" s="9" t="s">
        <v>45</v>
      </c>
      <c r="M189" s="9" t="s">
        <v>45</v>
      </c>
      <c r="N189" s="9" t="s">
        <v>45</v>
      </c>
      <c r="O189" s="9" t="s">
        <v>45</v>
      </c>
      <c r="P189" s="9" t="s">
        <v>45</v>
      </c>
      <c r="T189">
        <f>IF($E189="","",COUNTIF($E$2:$E189,$E189))</f>
        <v>73</v>
      </c>
      <c r="U189" t="str">
        <f t="shared" si="2"/>
        <v>CERVICALES|73</v>
      </c>
    </row>
    <row r="190" spans="1:21" x14ac:dyDescent="0.25">
      <c r="A190" s="9" t="s">
        <v>250</v>
      </c>
      <c r="B190" s="94">
        <v>46260</v>
      </c>
      <c r="C190" s="9" t="s">
        <v>104</v>
      </c>
      <c r="D190" s="9" t="s">
        <v>40</v>
      </c>
      <c r="E190" s="9" t="s">
        <v>60</v>
      </c>
      <c r="F190" s="47">
        <v>0.375</v>
      </c>
      <c r="G190" s="45">
        <v>925</v>
      </c>
      <c r="H190" s="45">
        <v>995</v>
      </c>
      <c r="I190" s="45">
        <v>965.15</v>
      </c>
      <c r="J190" s="45">
        <v>1024.8499999999999</v>
      </c>
      <c r="L190" s="9" t="s">
        <v>45</v>
      </c>
      <c r="M190" s="9" t="s">
        <v>45</v>
      </c>
      <c r="N190" s="9" t="s">
        <v>45</v>
      </c>
      <c r="O190" s="9" t="s">
        <v>45</v>
      </c>
      <c r="P190" s="9" t="s">
        <v>45</v>
      </c>
      <c r="T190">
        <f>IF($E190="","",COUNTIF($E$2:$E190,$E190))</f>
        <v>74</v>
      </c>
      <c r="U190" t="str">
        <f t="shared" si="2"/>
        <v>CERVICALES|74</v>
      </c>
    </row>
    <row r="191" spans="1:21" x14ac:dyDescent="0.25">
      <c r="A191" s="9" t="s">
        <v>251</v>
      </c>
      <c r="B191" s="94">
        <v>46260</v>
      </c>
      <c r="C191" s="9" t="s">
        <v>104</v>
      </c>
      <c r="D191" s="9" t="s">
        <v>40</v>
      </c>
      <c r="E191" s="9" t="s">
        <v>7</v>
      </c>
      <c r="F191" s="47">
        <v>0.375</v>
      </c>
      <c r="G191" s="45">
        <v>960</v>
      </c>
      <c r="H191" s="45">
        <v>1008</v>
      </c>
      <c r="I191" s="45">
        <v>977.76</v>
      </c>
      <c r="J191" s="45">
        <v>1038.24</v>
      </c>
      <c r="L191" s="9" t="s">
        <v>45</v>
      </c>
      <c r="M191" s="9" t="s">
        <v>45</v>
      </c>
      <c r="N191" s="9" t="s">
        <v>45</v>
      </c>
      <c r="O191" s="9" t="s">
        <v>45</v>
      </c>
      <c r="P191" s="9" t="s">
        <v>45</v>
      </c>
      <c r="T191">
        <f>IF($E191="","",COUNTIF($E$2:$E191,$E191))</f>
        <v>80</v>
      </c>
      <c r="U191" t="str">
        <f t="shared" si="2"/>
        <v>CLÁSICAS|80</v>
      </c>
    </row>
    <row r="192" spans="1:21" x14ac:dyDescent="0.25">
      <c r="A192" s="9" t="s">
        <v>252</v>
      </c>
      <c r="B192" s="94">
        <v>46260</v>
      </c>
      <c r="C192" s="9" t="s">
        <v>104</v>
      </c>
      <c r="D192" s="9" t="s">
        <v>40</v>
      </c>
      <c r="E192" s="9" t="s">
        <v>7</v>
      </c>
      <c r="F192" s="47">
        <v>0.41666666666666702</v>
      </c>
      <c r="G192" s="45">
        <v>960</v>
      </c>
      <c r="H192" s="45">
        <v>1008</v>
      </c>
      <c r="I192" s="45">
        <v>977.76</v>
      </c>
      <c r="J192" s="45">
        <v>1038.24</v>
      </c>
      <c r="L192" s="9" t="s">
        <v>45</v>
      </c>
      <c r="M192" s="9" t="s">
        <v>45</v>
      </c>
      <c r="N192" s="9" t="s">
        <v>45</v>
      </c>
      <c r="O192" s="9" t="s">
        <v>45</v>
      </c>
      <c r="P192" s="9" t="s">
        <v>45</v>
      </c>
      <c r="T192">
        <f>IF($E192="","",COUNTIF($E$2:$E192,$E192))</f>
        <v>81</v>
      </c>
      <c r="U192" t="str">
        <f t="shared" si="2"/>
        <v>CLÁSICAS|81</v>
      </c>
    </row>
    <row r="193" spans="1:21" x14ac:dyDescent="0.25">
      <c r="A193" s="9" t="s">
        <v>253</v>
      </c>
      <c r="B193" s="94">
        <v>46260</v>
      </c>
      <c r="C193" s="9" t="s">
        <v>104</v>
      </c>
      <c r="D193" s="9" t="s">
        <v>40</v>
      </c>
      <c r="E193" s="9" t="s">
        <v>60</v>
      </c>
      <c r="F193" s="47">
        <v>0.41666666666666702</v>
      </c>
      <c r="G193" s="45">
        <v>935</v>
      </c>
      <c r="H193" s="45">
        <v>995</v>
      </c>
      <c r="I193" s="45">
        <v>965.15</v>
      </c>
      <c r="J193" s="45">
        <v>1024.8499999999999</v>
      </c>
      <c r="L193" s="9" t="s">
        <v>45</v>
      </c>
      <c r="M193" s="9" t="s">
        <v>45</v>
      </c>
      <c r="N193" s="9" t="s">
        <v>45</v>
      </c>
      <c r="O193" s="9" t="s">
        <v>45</v>
      </c>
      <c r="P193" s="9" t="s">
        <v>45</v>
      </c>
      <c r="T193">
        <f>IF($E193="","",COUNTIF($E$2:$E193,$E193))</f>
        <v>75</v>
      </c>
      <c r="U193" t="str">
        <f t="shared" si="2"/>
        <v>CERVICALES|75</v>
      </c>
    </row>
    <row r="194" spans="1:21" x14ac:dyDescent="0.25">
      <c r="A194" s="9" t="s">
        <v>254</v>
      </c>
      <c r="B194" s="94">
        <v>46260</v>
      </c>
      <c r="C194" s="9" t="s">
        <v>104</v>
      </c>
      <c r="D194" s="9" t="s">
        <v>40</v>
      </c>
      <c r="E194" s="9" t="s">
        <v>60</v>
      </c>
      <c r="F194" s="47">
        <v>0.45833333333333298</v>
      </c>
      <c r="G194" s="45">
        <v>935</v>
      </c>
      <c r="H194" s="45">
        <v>995</v>
      </c>
      <c r="I194" s="45">
        <v>965.15</v>
      </c>
      <c r="J194" s="45">
        <v>1024.8499999999999</v>
      </c>
      <c r="L194" s="9" t="s">
        <v>45</v>
      </c>
      <c r="M194" s="9" t="s">
        <v>45</v>
      </c>
      <c r="N194" s="9" t="s">
        <v>45</v>
      </c>
      <c r="O194" s="9" t="s">
        <v>45</v>
      </c>
      <c r="P194" s="9" t="s">
        <v>45</v>
      </c>
      <c r="T194">
        <f>IF($E194="","",COUNTIF($E$2:$E194,$E194))</f>
        <v>76</v>
      </c>
      <c r="U194" t="str">
        <f t="shared" ref="U194:U257" si="3">IF($E194="","",$E194&amp;"|"&amp;T194)</f>
        <v>CERVICALES|76</v>
      </c>
    </row>
    <row r="195" spans="1:21" x14ac:dyDescent="0.25">
      <c r="A195" s="9" t="s">
        <v>255</v>
      </c>
      <c r="B195" s="94">
        <v>46260</v>
      </c>
      <c r="C195" s="9" t="s">
        <v>104</v>
      </c>
      <c r="D195" s="9" t="s">
        <v>40</v>
      </c>
      <c r="E195" s="9" t="s">
        <v>7</v>
      </c>
      <c r="F195" s="47">
        <v>0.45833333333333298</v>
      </c>
      <c r="G195" s="45">
        <v>935</v>
      </c>
      <c r="H195" s="45">
        <v>1008</v>
      </c>
      <c r="I195" s="45">
        <v>977.76</v>
      </c>
      <c r="J195" s="45">
        <v>1038.24</v>
      </c>
      <c r="L195" s="9" t="s">
        <v>45</v>
      </c>
      <c r="M195" s="9" t="s">
        <v>45</v>
      </c>
      <c r="N195" s="9" t="s">
        <v>45</v>
      </c>
      <c r="O195" s="9" t="s">
        <v>45</v>
      </c>
      <c r="P195" s="9" t="s">
        <v>45</v>
      </c>
      <c r="T195">
        <f>IF($E195="","",COUNTIF($E$2:$E195,$E195))</f>
        <v>82</v>
      </c>
      <c r="U195" t="str">
        <f t="shared" si="3"/>
        <v>CLÁSICAS|82</v>
      </c>
    </row>
    <row r="196" spans="1:21" x14ac:dyDescent="0.25">
      <c r="A196" s="9" t="s">
        <v>256</v>
      </c>
      <c r="B196" s="94">
        <v>46265</v>
      </c>
      <c r="C196" s="9" t="s">
        <v>58</v>
      </c>
      <c r="D196" s="9" t="s">
        <v>40</v>
      </c>
      <c r="E196" s="9" t="s">
        <v>7</v>
      </c>
      <c r="F196" s="47">
        <v>0.25</v>
      </c>
      <c r="G196" s="45">
        <v>935</v>
      </c>
      <c r="H196" s="45">
        <v>1008</v>
      </c>
      <c r="I196" s="45">
        <v>977.76</v>
      </c>
      <c r="J196" s="45">
        <v>1038.24</v>
      </c>
      <c r="L196" s="9" t="s">
        <v>45</v>
      </c>
      <c r="M196" s="9" t="s">
        <v>45</v>
      </c>
      <c r="N196" s="9" t="s">
        <v>45</v>
      </c>
      <c r="O196" s="9" t="s">
        <v>45</v>
      </c>
      <c r="P196" s="9" t="s">
        <v>45</v>
      </c>
      <c r="T196">
        <f>IF($E196="","",COUNTIF($E$2:$E196,$E196))</f>
        <v>83</v>
      </c>
      <c r="U196" t="str">
        <f t="shared" si="3"/>
        <v>CLÁSICAS|83</v>
      </c>
    </row>
    <row r="197" spans="1:21" x14ac:dyDescent="0.25">
      <c r="A197" s="9" t="s">
        <v>257</v>
      </c>
      <c r="B197" s="94">
        <v>46265</v>
      </c>
      <c r="C197" s="9" t="s">
        <v>58</v>
      </c>
      <c r="D197" s="9" t="s">
        <v>40</v>
      </c>
      <c r="E197" s="9" t="s">
        <v>60</v>
      </c>
      <c r="F197" s="47">
        <v>0.25</v>
      </c>
      <c r="G197" s="45">
        <v>920</v>
      </c>
      <c r="H197" s="45">
        <v>995</v>
      </c>
      <c r="I197" s="45">
        <v>965.15</v>
      </c>
      <c r="J197" s="45">
        <v>1024.8499999999999</v>
      </c>
      <c r="L197" s="9" t="s">
        <v>45</v>
      </c>
      <c r="M197" s="9" t="s">
        <v>45</v>
      </c>
      <c r="N197" s="9" t="s">
        <v>45</v>
      </c>
      <c r="O197" s="9" t="s">
        <v>45</v>
      </c>
      <c r="P197" s="9" t="s">
        <v>45</v>
      </c>
      <c r="T197">
        <f>IF($E197="","",COUNTIF($E$2:$E197,$E197))</f>
        <v>77</v>
      </c>
      <c r="U197" t="str">
        <f t="shared" si="3"/>
        <v>CERVICALES|77</v>
      </c>
    </row>
    <row r="198" spans="1:21" x14ac:dyDescent="0.25">
      <c r="A198" s="9" t="s">
        <v>258</v>
      </c>
      <c r="B198" s="94">
        <v>46265</v>
      </c>
      <c r="C198" s="9" t="s">
        <v>58</v>
      </c>
      <c r="D198" s="9" t="s">
        <v>40</v>
      </c>
      <c r="E198" s="9" t="s">
        <v>60</v>
      </c>
      <c r="F198" s="47">
        <v>0.29166666666666702</v>
      </c>
      <c r="G198" s="45">
        <v>935</v>
      </c>
      <c r="H198" s="45">
        <v>995</v>
      </c>
      <c r="I198" s="45">
        <v>965.15</v>
      </c>
      <c r="J198" s="45">
        <v>1024.8499999999999</v>
      </c>
      <c r="L198" s="9" t="s">
        <v>45</v>
      </c>
      <c r="M198" s="9" t="s">
        <v>45</v>
      </c>
      <c r="N198" s="9" t="s">
        <v>45</v>
      </c>
      <c r="O198" s="9" t="s">
        <v>45</v>
      </c>
      <c r="P198" s="9" t="s">
        <v>45</v>
      </c>
      <c r="T198">
        <f>IF($E198="","",COUNTIF($E$2:$E198,$E198))</f>
        <v>78</v>
      </c>
      <c r="U198" t="str">
        <f t="shared" si="3"/>
        <v>CERVICALES|78</v>
      </c>
    </row>
    <row r="199" spans="1:21" x14ac:dyDescent="0.25">
      <c r="A199" s="9" t="s">
        <v>259</v>
      </c>
      <c r="B199" s="94">
        <v>46265</v>
      </c>
      <c r="C199" s="9" t="s">
        <v>58</v>
      </c>
      <c r="D199" s="9" t="s">
        <v>40</v>
      </c>
      <c r="E199" s="9" t="s">
        <v>7</v>
      </c>
      <c r="F199" s="47">
        <v>0.29166666666666702</v>
      </c>
      <c r="G199" s="45">
        <v>955</v>
      </c>
      <c r="H199" s="45">
        <v>1008</v>
      </c>
      <c r="I199" s="45">
        <v>977.76</v>
      </c>
      <c r="J199" s="45">
        <v>1038.24</v>
      </c>
      <c r="L199" s="9" t="s">
        <v>45</v>
      </c>
      <c r="M199" s="9" t="s">
        <v>45</v>
      </c>
      <c r="N199" s="9" t="s">
        <v>45</v>
      </c>
      <c r="O199" s="9" t="s">
        <v>45</v>
      </c>
      <c r="P199" s="9" t="s">
        <v>45</v>
      </c>
      <c r="T199">
        <f>IF($E199="","",COUNTIF($E$2:$E199,$E199))</f>
        <v>84</v>
      </c>
      <c r="U199" t="str">
        <f t="shared" si="3"/>
        <v>CLÁSICAS|84</v>
      </c>
    </row>
    <row r="200" spans="1:21" x14ac:dyDescent="0.25">
      <c r="A200" s="9" t="s">
        <v>260</v>
      </c>
      <c r="B200" s="94">
        <v>46265</v>
      </c>
      <c r="C200" s="9" t="s">
        <v>58</v>
      </c>
      <c r="D200" s="9" t="s">
        <v>40</v>
      </c>
      <c r="E200" s="9" t="s">
        <v>7</v>
      </c>
      <c r="F200" s="47">
        <v>0.33333333333333298</v>
      </c>
      <c r="G200" s="45">
        <v>955</v>
      </c>
      <c r="H200" s="45">
        <v>1008</v>
      </c>
      <c r="I200" s="45">
        <v>977.76</v>
      </c>
      <c r="J200" s="45">
        <v>1038.24</v>
      </c>
      <c r="L200" s="9" t="s">
        <v>45</v>
      </c>
      <c r="M200" s="9" t="s">
        <v>45</v>
      </c>
      <c r="N200" s="9" t="s">
        <v>45</v>
      </c>
      <c r="O200" s="9" t="s">
        <v>45</v>
      </c>
      <c r="P200" s="9" t="s">
        <v>45</v>
      </c>
      <c r="T200">
        <f>IF($E200="","",COUNTIF($E$2:$E200,$E200))</f>
        <v>85</v>
      </c>
      <c r="U200" t="str">
        <f t="shared" si="3"/>
        <v>CLÁSICAS|85</v>
      </c>
    </row>
    <row r="201" spans="1:21" x14ac:dyDescent="0.25">
      <c r="A201" s="9" t="s">
        <v>261</v>
      </c>
      <c r="B201" s="94">
        <v>46265</v>
      </c>
      <c r="C201" s="9" t="s">
        <v>58</v>
      </c>
      <c r="D201" s="9" t="s">
        <v>40</v>
      </c>
      <c r="E201" s="9" t="s">
        <v>60</v>
      </c>
      <c r="F201" s="47">
        <v>0.33333333333333298</v>
      </c>
      <c r="G201" s="45">
        <v>940</v>
      </c>
      <c r="H201" s="45">
        <v>995</v>
      </c>
      <c r="I201" s="45">
        <v>965.15</v>
      </c>
      <c r="J201" s="45">
        <v>1024.8499999999999</v>
      </c>
      <c r="L201" s="9" t="s">
        <v>45</v>
      </c>
      <c r="M201" s="9" t="s">
        <v>45</v>
      </c>
      <c r="N201" s="9" t="s">
        <v>45</v>
      </c>
      <c r="O201" s="9" t="s">
        <v>45</v>
      </c>
      <c r="P201" s="9" t="s">
        <v>45</v>
      </c>
      <c r="T201">
        <f>IF($E201="","",COUNTIF($E$2:$E201,$E201))</f>
        <v>79</v>
      </c>
      <c r="U201" t="str">
        <f t="shared" si="3"/>
        <v>CERVICALES|79</v>
      </c>
    </row>
    <row r="202" spans="1:21" x14ac:dyDescent="0.25">
      <c r="A202" s="9" t="s">
        <v>262</v>
      </c>
      <c r="B202" s="94">
        <v>46265</v>
      </c>
      <c r="C202" s="9" t="s">
        <v>58</v>
      </c>
      <c r="D202" s="9" t="s">
        <v>40</v>
      </c>
      <c r="E202" s="9" t="s">
        <v>60</v>
      </c>
      <c r="F202" s="47">
        <v>0.375</v>
      </c>
      <c r="G202" s="45">
        <v>940</v>
      </c>
      <c r="H202" s="45">
        <v>995</v>
      </c>
      <c r="I202" s="45">
        <v>965.15</v>
      </c>
      <c r="J202" s="45">
        <v>1024.8499999999999</v>
      </c>
      <c r="L202" s="9" t="s">
        <v>45</v>
      </c>
      <c r="M202" s="9" t="s">
        <v>45</v>
      </c>
      <c r="N202" s="9" t="s">
        <v>45</v>
      </c>
      <c r="O202" s="9" t="s">
        <v>45</v>
      </c>
      <c r="P202" s="9" t="s">
        <v>45</v>
      </c>
      <c r="T202">
        <f>IF($E202="","",COUNTIF($E$2:$E202,$E202))</f>
        <v>80</v>
      </c>
      <c r="U202" t="str">
        <f t="shared" si="3"/>
        <v>CERVICALES|80</v>
      </c>
    </row>
    <row r="203" spans="1:21" x14ac:dyDescent="0.25">
      <c r="A203" s="9" t="s">
        <v>263</v>
      </c>
      <c r="B203" s="94">
        <v>46265</v>
      </c>
      <c r="C203" s="9" t="s">
        <v>58</v>
      </c>
      <c r="D203" s="9" t="s">
        <v>40</v>
      </c>
      <c r="E203" s="9" t="s">
        <v>7</v>
      </c>
      <c r="F203" s="47">
        <v>0.375</v>
      </c>
      <c r="G203" s="45">
        <v>955</v>
      </c>
      <c r="H203" s="45">
        <v>1008</v>
      </c>
      <c r="I203" s="45">
        <v>977.76</v>
      </c>
      <c r="J203" s="45">
        <v>1038.24</v>
      </c>
      <c r="L203" s="9" t="s">
        <v>45</v>
      </c>
      <c r="M203" s="9" t="s">
        <v>45</v>
      </c>
      <c r="N203" s="9" t="s">
        <v>45</v>
      </c>
      <c r="O203" s="9" t="s">
        <v>45</v>
      </c>
      <c r="P203" s="9" t="s">
        <v>45</v>
      </c>
      <c r="T203">
        <f>IF($E203="","",COUNTIF($E$2:$E203,$E203))</f>
        <v>86</v>
      </c>
      <c r="U203" t="str">
        <f t="shared" si="3"/>
        <v>CLÁSICAS|86</v>
      </c>
    </row>
    <row r="204" spans="1:21" x14ac:dyDescent="0.25">
      <c r="A204" s="9" t="s">
        <v>264</v>
      </c>
      <c r="B204" s="94">
        <v>46265</v>
      </c>
      <c r="C204" s="9" t="s">
        <v>58</v>
      </c>
      <c r="D204" s="9" t="s">
        <v>40</v>
      </c>
      <c r="E204" s="9" t="s">
        <v>7</v>
      </c>
      <c r="F204" s="47">
        <v>0.41666666666666702</v>
      </c>
      <c r="G204" s="45">
        <v>955</v>
      </c>
      <c r="H204" s="45">
        <v>1008</v>
      </c>
      <c r="I204" s="45">
        <v>977.76</v>
      </c>
      <c r="J204" s="45">
        <v>1038.24</v>
      </c>
      <c r="L204" s="9" t="s">
        <v>45</v>
      </c>
      <c r="M204" s="9" t="s">
        <v>45</v>
      </c>
      <c r="N204" s="9" t="s">
        <v>45</v>
      </c>
      <c r="O204" s="9" t="s">
        <v>45</v>
      </c>
      <c r="P204" s="9" t="s">
        <v>45</v>
      </c>
      <c r="T204">
        <f>IF($E204="","",COUNTIF($E$2:$E204,$E204))</f>
        <v>87</v>
      </c>
      <c r="U204" t="str">
        <f t="shared" si="3"/>
        <v>CLÁSICAS|87</v>
      </c>
    </row>
    <row r="205" spans="1:21" x14ac:dyDescent="0.25">
      <c r="A205" s="9" t="s">
        <v>265</v>
      </c>
      <c r="B205" s="94">
        <v>46265</v>
      </c>
      <c r="C205" s="9" t="s">
        <v>58</v>
      </c>
      <c r="D205" s="9" t="s">
        <v>40</v>
      </c>
      <c r="E205" s="9" t="s">
        <v>60</v>
      </c>
      <c r="F205" s="47">
        <v>0.41666666666666702</v>
      </c>
      <c r="G205" s="45">
        <v>940</v>
      </c>
      <c r="H205" s="45">
        <v>995</v>
      </c>
      <c r="I205" s="45">
        <v>965.15</v>
      </c>
      <c r="J205" s="45">
        <v>1024.8499999999999</v>
      </c>
      <c r="L205" s="9" t="s">
        <v>45</v>
      </c>
      <c r="M205" s="9" t="s">
        <v>45</v>
      </c>
      <c r="N205" s="9" t="s">
        <v>45</v>
      </c>
      <c r="O205" s="9" t="s">
        <v>45</v>
      </c>
      <c r="P205" s="9" t="s">
        <v>45</v>
      </c>
      <c r="T205">
        <f>IF($E205="","",COUNTIF($E$2:$E205,$E205))</f>
        <v>81</v>
      </c>
      <c r="U205" t="str">
        <f t="shared" si="3"/>
        <v>CERVICALES|81</v>
      </c>
    </row>
    <row r="206" spans="1:21" x14ac:dyDescent="0.25">
      <c r="A206" s="9" t="s">
        <v>266</v>
      </c>
      <c r="B206" s="94">
        <v>46265</v>
      </c>
      <c r="C206" s="9" t="s">
        <v>58</v>
      </c>
      <c r="D206" s="9" t="s">
        <v>40</v>
      </c>
      <c r="E206" s="9" t="s">
        <v>60</v>
      </c>
      <c r="F206" s="47">
        <v>0.45833333333333298</v>
      </c>
      <c r="G206" s="45">
        <v>940</v>
      </c>
      <c r="H206" s="45">
        <v>995</v>
      </c>
      <c r="I206" s="45">
        <v>965.15</v>
      </c>
      <c r="J206" s="45">
        <v>1024.8499999999999</v>
      </c>
      <c r="L206" s="9" t="s">
        <v>45</v>
      </c>
      <c r="M206" s="9" t="s">
        <v>45</v>
      </c>
      <c r="N206" s="9" t="s">
        <v>45</v>
      </c>
      <c r="O206" s="9" t="s">
        <v>45</v>
      </c>
      <c r="P206" s="9" t="s">
        <v>45</v>
      </c>
      <c r="T206">
        <f>IF($E206="","",COUNTIF($E$2:$E206,$E206))</f>
        <v>82</v>
      </c>
      <c r="U206" t="str">
        <f t="shared" si="3"/>
        <v>CERVICALES|82</v>
      </c>
    </row>
    <row r="207" spans="1:21" x14ac:dyDescent="0.25">
      <c r="A207" s="9" t="s">
        <v>267</v>
      </c>
      <c r="B207" s="94">
        <v>46265</v>
      </c>
      <c r="C207" s="9" t="s">
        <v>58</v>
      </c>
      <c r="D207" s="9" t="s">
        <v>40</v>
      </c>
      <c r="E207" s="9" t="s">
        <v>7</v>
      </c>
      <c r="F207" s="47">
        <v>0.45833333333333298</v>
      </c>
      <c r="G207" s="45">
        <v>960</v>
      </c>
      <c r="H207" s="45">
        <v>1008</v>
      </c>
      <c r="I207" s="45">
        <v>977.76</v>
      </c>
      <c r="J207" s="45">
        <v>1038.24</v>
      </c>
      <c r="L207" s="9" t="s">
        <v>45</v>
      </c>
      <c r="M207" s="9" t="s">
        <v>45</v>
      </c>
      <c r="N207" s="9" t="s">
        <v>45</v>
      </c>
      <c r="O207" s="9" t="s">
        <v>45</v>
      </c>
      <c r="P207" s="9" t="s">
        <v>45</v>
      </c>
      <c r="T207">
        <f>IF($E207="","",COUNTIF($E$2:$E207,$E207))</f>
        <v>88</v>
      </c>
      <c r="U207" t="str">
        <f t="shared" si="3"/>
        <v>CLÁSICAS|88</v>
      </c>
    </row>
    <row r="208" spans="1:21" x14ac:dyDescent="0.25">
      <c r="A208" s="9" t="s">
        <v>268</v>
      </c>
      <c r="B208" s="94">
        <v>46265</v>
      </c>
      <c r="C208" s="9" t="s">
        <v>104</v>
      </c>
      <c r="D208" s="9" t="s">
        <v>40</v>
      </c>
      <c r="E208" s="9" t="s">
        <v>7</v>
      </c>
      <c r="F208" s="47">
        <v>0.5</v>
      </c>
      <c r="G208" s="45">
        <v>960</v>
      </c>
      <c r="H208" s="45">
        <v>1008</v>
      </c>
      <c r="I208" s="45">
        <v>977.76</v>
      </c>
      <c r="J208" s="45">
        <v>1038.24</v>
      </c>
      <c r="L208" s="9" t="s">
        <v>45</v>
      </c>
      <c r="M208" s="9" t="s">
        <v>45</v>
      </c>
      <c r="N208" s="9" t="s">
        <v>45</v>
      </c>
      <c r="O208" s="9" t="s">
        <v>45</v>
      </c>
      <c r="P208" s="9" t="s">
        <v>45</v>
      </c>
      <c r="T208">
        <f>IF($E208="","",COUNTIF($E$2:$E208,$E208))</f>
        <v>89</v>
      </c>
      <c r="U208" t="str">
        <f t="shared" si="3"/>
        <v>CLÁSICAS|89</v>
      </c>
    </row>
    <row r="209" spans="1:21" x14ac:dyDescent="0.25">
      <c r="A209" s="9" t="s">
        <v>269</v>
      </c>
      <c r="B209" s="94">
        <v>46265</v>
      </c>
      <c r="C209" s="9" t="s">
        <v>104</v>
      </c>
      <c r="D209" s="9" t="s">
        <v>40</v>
      </c>
      <c r="E209" s="9" t="s">
        <v>60</v>
      </c>
      <c r="F209" s="47">
        <v>0.5</v>
      </c>
      <c r="G209" s="45">
        <v>960</v>
      </c>
      <c r="H209" s="45">
        <v>995</v>
      </c>
      <c r="I209" s="45">
        <v>965.15</v>
      </c>
      <c r="J209" s="45">
        <v>1024.8499999999999</v>
      </c>
      <c r="L209" s="9" t="s">
        <v>45</v>
      </c>
      <c r="M209" s="9" t="s">
        <v>45</v>
      </c>
      <c r="N209" s="9" t="s">
        <v>45</v>
      </c>
      <c r="O209" s="9" t="s">
        <v>45</v>
      </c>
      <c r="P209" s="9" t="s">
        <v>45</v>
      </c>
      <c r="T209">
        <f>IF($E209="","",COUNTIF($E$2:$E209,$E209))</f>
        <v>83</v>
      </c>
      <c r="U209" t="str">
        <f t="shared" si="3"/>
        <v>CERVICALES|83</v>
      </c>
    </row>
    <row r="210" spans="1:21" x14ac:dyDescent="0.25">
      <c r="A210" s="9" t="s">
        <v>270</v>
      </c>
      <c r="B210" s="94">
        <v>46265</v>
      </c>
      <c r="C210" s="9" t="s">
        <v>104</v>
      </c>
      <c r="D210" s="9" t="s">
        <v>40</v>
      </c>
      <c r="E210" s="9" t="s">
        <v>60</v>
      </c>
      <c r="F210" s="47">
        <v>0.54166666666666696</v>
      </c>
      <c r="G210" s="45">
        <v>960</v>
      </c>
      <c r="H210" s="45">
        <v>995</v>
      </c>
      <c r="I210" s="45">
        <v>965.15</v>
      </c>
      <c r="J210" s="45">
        <v>1024.8499999999999</v>
      </c>
      <c r="L210" s="9" t="s">
        <v>45</v>
      </c>
      <c r="M210" s="9" t="s">
        <v>45</v>
      </c>
      <c r="N210" s="9" t="s">
        <v>45</v>
      </c>
      <c r="O210" s="9" t="s">
        <v>45</v>
      </c>
      <c r="P210" s="9" t="s">
        <v>45</v>
      </c>
      <c r="T210">
        <f>IF($E210="","",COUNTIF($E$2:$E210,$E210))</f>
        <v>84</v>
      </c>
      <c r="U210" t="str">
        <f t="shared" si="3"/>
        <v>CERVICALES|84</v>
      </c>
    </row>
    <row r="211" spans="1:21" x14ac:dyDescent="0.25">
      <c r="A211" s="9" t="s">
        <v>271</v>
      </c>
      <c r="B211" s="94">
        <v>46265</v>
      </c>
      <c r="C211" s="9" t="s">
        <v>104</v>
      </c>
      <c r="D211" s="9" t="s">
        <v>40</v>
      </c>
      <c r="E211" s="9" t="s">
        <v>7</v>
      </c>
      <c r="F211" s="47">
        <v>0.54166666666666696</v>
      </c>
      <c r="G211" s="45">
        <v>960</v>
      </c>
      <c r="H211" s="45">
        <v>1008</v>
      </c>
      <c r="I211" s="45">
        <v>977.76</v>
      </c>
      <c r="J211" s="45">
        <v>1038.24</v>
      </c>
      <c r="L211" s="9" t="s">
        <v>45</v>
      </c>
      <c r="M211" s="9" t="s">
        <v>45</v>
      </c>
      <c r="N211" s="9" t="s">
        <v>45</v>
      </c>
      <c r="O211" s="9" t="s">
        <v>45</v>
      </c>
      <c r="P211" s="9" t="s">
        <v>45</v>
      </c>
      <c r="T211">
        <f>IF($E211="","",COUNTIF($E$2:$E211,$E211))</f>
        <v>90</v>
      </c>
      <c r="U211" t="str">
        <f t="shared" si="3"/>
        <v>CLÁSICAS|90</v>
      </c>
    </row>
    <row r="212" spans="1:21" x14ac:dyDescent="0.25">
      <c r="A212" s="9" t="s">
        <v>272</v>
      </c>
      <c r="B212" s="94">
        <v>46266</v>
      </c>
      <c r="C212" s="9" t="s">
        <v>104</v>
      </c>
      <c r="D212" s="9" t="s">
        <v>40</v>
      </c>
      <c r="E212" s="9" t="s">
        <v>60</v>
      </c>
      <c r="F212" s="47">
        <v>0.25</v>
      </c>
      <c r="G212" s="45">
        <v>960</v>
      </c>
      <c r="H212" s="45">
        <v>995</v>
      </c>
      <c r="I212" s="45">
        <v>965.15</v>
      </c>
      <c r="J212" s="45">
        <v>1024.8499999999999</v>
      </c>
      <c r="L212" s="9" t="s">
        <v>45</v>
      </c>
      <c r="M212" s="9" t="s">
        <v>45</v>
      </c>
      <c r="N212" s="9" t="s">
        <v>45</v>
      </c>
      <c r="O212" s="9" t="s">
        <v>45</v>
      </c>
      <c r="P212" s="9" t="s">
        <v>45</v>
      </c>
      <c r="T212">
        <f>IF($E212="","",COUNTIF($E$2:$E212,$E212))</f>
        <v>85</v>
      </c>
      <c r="U212" t="str">
        <f t="shared" si="3"/>
        <v>CERVICALES|85</v>
      </c>
    </row>
    <row r="213" spans="1:21" x14ac:dyDescent="0.25">
      <c r="A213" s="9" t="s">
        <v>273</v>
      </c>
      <c r="B213" s="94">
        <v>46266</v>
      </c>
      <c r="C213" s="9" t="s">
        <v>104</v>
      </c>
      <c r="D213" s="9" t="s">
        <v>40</v>
      </c>
      <c r="E213" s="9" t="s">
        <v>7</v>
      </c>
      <c r="F213" s="47">
        <v>0.25</v>
      </c>
      <c r="G213" s="45">
        <v>965</v>
      </c>
      <c r="H213" s="45">
        <v>1008</v>
      </c>
      <c r="I213" s="45">
        <v>977.76</v>
      </c>
      <c r="J213" s="45">
        <v>1038.24</v>
      </c>
      <c r="L213" s="9" t="s">
        <v>45</v>
      </c>
      <c r="M213" s="9" t="s">
        <v>45</v>
      </c>
      <c r="N213" s="9" t="s">
        <v>45</v>
      </c>
      <c r="O213" s="9" t="s">
        <v>45</v>
      </c>
      <c r="P213" s="9" t="s">
        <v>45</v>
      </c>
      <c r="T213">
        <f>IF($E213="","",COUNTIF($E$2:$E213,$E213))</f>
        <v>91</v>
      </c>
      <c r="U213" t="str">
        <f t="shared" si="3"/>
        <v>CLÁSICAS|91</v>
      </c>
    </row>
    <row r="214" spans="1:21" x14ac:dyDescent="0.25">
      <c r="A214" s="9" t="s">
        <v>274</v>
      </c>
      <c r="B214" s="94">
        <v>46266</v>
      </c>
      <c r="C214" s="9" t="s">
        <v>104</v>
      </c>
      <c r="D214" s="9" t="s">
        <v>40</v>
      </c>
      <c r="E214" s="9" t="s">
        <v>7</v>
      </c>
      <c r="F214" s="47">
        <v>0.29166666666666702</v>
      </c>
      <c r="G214" s="45">
        <v>960</v>
      </c>
      <c r="H214" s="45">
        <v>1008</v>
      </c>
      <c r="I214" s="45">
        <v>977.76</v>
      </c>
      <c r="J214" s="45">
        <v>1038.24</v>
      </c>
      <c r="L214" s="9" t="s">
        <v>45</v>
      </c>
      <c r="M214" s="9" t="s">
        <v>45</v>
      </c>
      <c r="N214" s="9" t="s">
        <v>45</v>
      </c>
      <c r="O214" s="9" t="s">
        <v>45</v>
      </c>
      <c r="P214" s="9" t="s">
        <v>45</v>
      </c>
      <c r="T214">
        <f>IF($E214="","",COUNTIF($E$2:$E214,$E214))</f>
        <v>92</v>
      </c>
      <c r="U214" t="str">
        <f t="shared" si="3"/>
        <v>CLÁSICAS|92</v>
      </c>
    </row>
    <row r="215" spans="1:21" x14ac:dyDescent="0.25">
      <c r="A215" s="9" t="s">
        <v>275</v>
      </c>
      <c r="B215" s="94">
        <v>46266</v>
      </c>
      <c r="C215" s="9" t="s">
        <v>104</v>
      </c>
      <c r="D215" s="9" t="s">
        <v>40</v>
      </c>
      <c r="E215" s="9" t="s">
        <v>60</v>
      </c>
      <c r="F215" s="47">
        <v>0.29166666666666702</v>
      </c>
      <c r="G215" s="45">
        <v>965</v>
      </c>
      <c r="H215" s="45">
        <v>995</v>
      </c>
      <c r="I215" s="45">
        <v>965.15</v>
      </c>
      <c r="J215" s="45">
        <v>1024.8499999999999</v>
      </c>
      <c r="L215" s="9" t="s">
        <v>45</v>
      </c>
      <c r="M215" s="9" t="s">
        <v>45</v>
      </c>
      <c r="N215" s="9" t="s">
        <v>45</v>
      </c>
      <c r="O215" s="9" t="s">
        <v>45</v>
      </c>
      <c r="P215" s="9" t="s">
        <v>45</v>
      </c>
      <c r="T215">
        <f>IF($E215="","",COUNTIF($E$2:$E215,$E215))</f>
        <v>86</v>
      </c>
      <c r="U215" t="str">
        <f t="shared" si="3"/>
        <v>CERVICALES|86</v>
      </c>
    </row>
    <row r="216" spans="1:21" x14ac:dyDescent="0.25">
      <c r="A216" s="9" t="s">
        <v>276</v>
      </c>
      <c r="B216" s="94">
        <v>46266</v>
      </c>
      <c r="C216" s="9" t="s">
        <v>277</v>
      </c>
      <c r="D216" s="9" t="s">
        <v>40</v>
      </c>
      <c r="E216" s="9" t="s">
        <v>60</v>
      </c>
      <c r="F216" s="47">
        <v>0.54166666666666696</v>
      </c>
      <c r="G216" s="45">
        <v>1000</v>
      </c>
      <c r="H216" s="45">
        <v>995</v>
      </c>
      <c r="I216" s="45">
        <v>965.15</v>
      </c>
      <c r="J216" s="45">
        <v>1024.8499999999999</v>
      </c>
      <c r="L216" s="9" t="s">
        <v>45</v>
      </c>
      <c r="M216" s="9" t="s">
        <v>45</v>
      </c>
      <c r="N216" s="9" t="s">
        <v>45</v>
      </c>
      <c r="O216" s="9" t="s">
        <v>45</v>
      </c>
      <c r="P216" s="9" t="s">
        <v>45</v>
      </c>
      <c r="Q216">
        <v>4</v>
      </c>
      <c r="R216">
        <v>350</v>
      </c>
      <c r="T216">
        <f>IF($E216="","",COUNTIF($E$2:$E216,$E216))</f>
        <v>87</v>
      </c>
      <c r="U216" t="str">
        <f t="shared" si="3"/>
        <v>CERVICALES|87</v>
      </c>
    </row>
    <row r="217" spans="1:21" x14ac:dyDescent="0.25">
      <c r="A217" s="9" t="s">
        <v>278</v>
      </c>
      <c r="B217" s="94">
        <v>46266</v>
      </c>
      <c r="C217" s="62" t="s">
        <v>277</v>
      </c>
      <c r="D217" s="9" t="s">
        <v>40</v>
      </c>
      <c r="E217" s="9" t="s">
        <v>60</v>
      </c>
      <c r="F217" s="47">
        <v>0.5</v>
      </c>
      <c r="G217" s="45">
        <v>1000</v>
      </c>
      <c r="H217" s="45">
        <v>995</v>
      </c>
      <c r="I217" s="45">
        <v>965.15</v>
      </c>
      <c r="J217" s="45">
        <v>1024.8499999999999</v>
      </c>
      <c r="L217" s="9" t="s">
        <v>45</v>
      </c>
      <c r="M217" s="9" t="s">
        <v>45</v>
      </c>
      <c r="N217" s="9" t="s">
        <v>45</v>
      </c>
      <c r="O217" s="9" t="s">
        <v>45</v>
      </c>
      <c r="P217" s="9" t="s">
        <v>45</v>
      </c>
      <c r="Q217">
        <v>3</v>
      </c>
      <c r="R217">
        <v>300</v>
      </c>
      <c r="T217">
        <f>IF($E217="","",COUNTIF($E$2:$E217,$E217))</f>
        <v>88</v>
      </c>
      <c r="U217" t="str">
        <f t="shared" si="3"/>
        <v>CERVICALES|88</v>
      </c>
    </row>
    <row r="218" spans="1:21" x14ac:dyDescent="0.25">
      <c r="A218" s="9" t="s">
        <v>279</v>
      </c>
      <c r="B218" s="94">
        <v>46282</v>
      </c>
      <c r="C218" s="9" t="s">
        <v>39</v>
      </c>
      <c r="D218" s="9" t="s">
        <v>40</v>
      </c>
      <c r="E218" s="9" t="s">
        <v>7</v>
      </c>
      <c r="F218" s="47">
        <v>0.5</v>
      </c>
      <c r="G218" s="45">
        <v>950</v>
      </c>
      <c r="H218" s="45">
        <v>1008</v>
      </c>
      <c r="I218" s="45">
        <v>977.76</v>
      </c>
      <c r="J218" s="45">
        <v>1038.24</v>
      </c>
      <c r="L218" s="9" t="s">
        <v>45</v>
      </c>
      <c r="M218" s="9" t="s">
        <v>45</v>
      </c>
      <c r="N218" s="9" t="s">
        <v>45</v>
      </c>
      <c r="O218" s="9" t="s">
        <v>45</v>
      </c>
      <c r="P218" s="9" t="s">
        <v>45</v>
      </c>
      <c r="Q218">
        <v>0</v>
      </c>
      <c r="R218">
        <v>0</v>
      </c>
      <c r="T218">
        <f>IF($E218="","",COUNTIF($E$2:$E218,$E218))</f>
        <v>93</v>
      </c>
      <c r="U218" t="str">
        <f t="shared" si="3"/>
        <v>CLÁSICAS|93</v>
      </c>
    </row>
    <row r="219" spans="1:21" x14ac:dyDescent="0.25">
      <c r="A219" s="95" t="s">
        <v>311</v>
      </c>
      <c r="B219" s="96">
        <v>46174</v>
      </c>
      <c r="C219" s="95" t="s">
        <v>58</v>
      </c>
      <c r="D219" s="95" t="s">
        <v>40</v>
      </c>
      <c r="E219" s="95" t="s">
        <v>7</v>
      </c>
      <c r="F219" s="97">
        <v>0.45833333333333331</v>
      </c>
      <c r="G219" s="98">
        <v>960</v>
      </c>
      <c r="H219" s="98">
        <v>1010</v>
      </c>
      <c r="I219" s="98">
        <v>979.69999999999993</v>
      </c>
      <c r="J219" s="98">
        <v>1040.3</v>
      </c>
      <c r="K219" s="99"/>
      <c r="L219" s="95" t="s">
        <v>45</v>
      </c>
      <c r="M219" s="95" t="s">
        <v>45</v>
      </c>
      <c r="N219" s="95" t="s">
        <v>45</v>
      </c>
      <c r="O219" s="95" t="s">
        <v>45</v>
      </c>
      <c r="P219" s="95" t="s">
        <v>45</v>
      </c>
      <c r="T219">
        <f>IF($E219="","",COUNTIF($E$2:$E219,$E219))</f>
        <v>94</v>
      </c>
      <c r="U219" t="str">
        <f t="shared" si="3"/>
        <v>CLÁSICAS|94</v>
      </c>
    </row>
    <row r="220" spans="1:21" x14ac:dyDescent="0.25">
      <c r="A220" s="95" t="s">
        <v>312</v>
      </c>
      <c r="B220" s="96">
        <v>46174</v>
      </c>
      <c r="C220" s="95" t="s">
        <v>58</v>
      </c>
      <c r="D220" s="95" t="s">
        <v>40</v>
      </c>
      <c r="E220" s="95" t="s">
        <v>185</v>
      </c>
      <c r="F220" s="97">
        <v>0.45833333333333331</v>
      </c>
      <c r="G220" s="98">
        <v>775</v>
      </c>
      <c r="H220" s="98">
        <v>750</v>
      </c>
      <c r="I220" s="98">
        <v>727.5</v>
      </c>
      <c r="J220" s="98">
        <v>772.5</v>
      </c>
      <c r="K220" s="99"/>
      <c r="L220" s="95" t="s">
        <v>45</v>
      </c>
      <c r="M220" s="95" t="s">
        <v>45</v>
      </c>
      <c r="N220" s="95" t="s">
        <v>45</v>
      </c>
      <c r="O220" s="95" t="s">
        <v>45</v>
      </c>
      <c r="P220" s="95" t="s">
        <v>45</v>
      </c>
      <c r="T220">
        <f>IF($E220="","",COUNTIF($E$2:$E220,$E220))</f>
        <v>13</v>
      </c>
      <c r="U220" t="str">
        <f t="shared" si="3"/>
        <v>PROMOS|13</v>
      </c>
    </row>
    <row r="221" spans="1:21" x14ac:dyDescent="0.25">
      <c r="A221" s="95" t="s">
        <v>313</v>
      </c>
      <c r="B221" s="96">
        <v>46174</v>
      </c>
      <c r="C221" s="95" t="s">
        <v>58</v>
      </c>
      <c r="D221" s="95" t="s">
        <v>40</v>
      </c>
      <c r="E221" s="95" t="s">
        <v>185</v>
      </c>
      <c r="F221" s="97">
        <v>0.5</v>
      </c>
      <c r="G221" s="98">
        <v>772</v>
      </c>
      <c r="H221" s="98">
        <v>750</v>
      </c>
      <c r="I221" s="98">
        <v>727.5</v>
      </c>
      <c r="J221" s="98">
        <v>772.5</v>
      </c>
      <c r="K221" s="99"/>
      <c r="L221" s="95" t="s">
        <v>45</v>
      </c>
      <c r="M221" s="95" t="s">
        <v>45</v>
      </c>
      <c r="N221" s="95" t="s">
        <v>45</v>
      </c>
      <c r="O221" s="95" t="s">
        <v>45</v>
      </c>
      <c r="P221" s="95" t="s">
        <v>45</v>
      </c>
      <c r="T221">
        <f>IF($E221="","",COUNTIF($E$2:$E221,$E221))</f>
        <v>14</v>
      </c>
      <c r="U221" t="str">
        <f t="shared" si="3"/>
        <v>PROMOS|14</v>
      </c>
    </row>
    <row r="222" spans="1:21" x14ac:dyDescent="0.25">
      <c r="A222" s="95" t="s">
        <v>314</v>
      </c>
      <c r="B222" s="96">
        <v>46174</v>
      </c>
      <c r="C222" s="95" t="s">
        <v>58</v>
      </c>
      <c r="D222" s="95" t="s">
        <v>40</v>
      </c>
      <c r="E222" s="95" t="s">
        <v>7</v>
      </c>
      <c r="F222" s="97">
        <v>0.5</v>
      </c>
      <c r="G222" s="98">
        <v>995</v>
      </c>
      <c r="H222" s="98">
        <v>1010</v>
      </c>
      <c r="I222" s="98">
        <v>979.69999999999993</v>
      </c>
      <c r="J222" s="98">
        <v>1040.3</v>
      </c>
      <c r="K222" s="99"/>
      <c r="L222" s="95" t="s">
        <v>45</v>
      </c>
      <c r="M222" s="95" t="s">
        <v>45</v>
      </c>
      <c r="N222" s="95" t="s">
        <v>45</v>
      </c>
      <c r="O222" s="95" t="s">
        <v>45</v>
      </c>
      <c r="P222" s="95" t="s">
        <v>45</v>
      </c>
      <c r="T222">
        <f>IF($E222="","",COUNTIF($E$2:$E222,$E222))</f>
        <v>95</v>
      </c>
      <c r="U222" t="str">
        <f t="shared" si="3"/>
        <v>CLÁSICAS|95</v>
      </c>
    </row>
    <row r="223" spans="1:21" x14ac:dyDescent="0.25">
      <c r="A223" s="95" t="s">
        <v>315</v>
      </c>
      <c r="B223" s="96">
        <v>46175</v>
      </c>
      <c r="C223" s="95" t="s">
        <v>58</v>
      </c>
      <c r="D223" s="95" t="s">
        <v>40</v>
      </c>
      <c r="E223" s="95" t="s">
        <v>7</v>
      </c>
      <c r="F223" s="97">
        <v>0.25</v>
      </c>
      <c r="G223" s="98">
        <v>965</v>
      </c>
      <c r="H223" s="98">
        <v>1010</v>
      </c>
      <c r="I223" s="98">
        <v>979.69999999999993</v>
      </c>
      <c r="J223" s="98">
        <v>1040.3</v>
      </c>
      <c r="K223" s="99"/>
      <c r="L223" s="95" t="s">
        <v>45</v>
      </c>
      <c r="M223" s="95" t="s">
        <v>45</v>
      </c>
      <c r="N223" s="95" t="s">
        <v>45</v>
      </c>
      <c r="O223" s="95" t="s">
        <v>45</v>
      </c>
      <c r="P223" s="95" t="s">
        <v>45</v>
      </c>
      <c r="T223">
        <f>IF($E223="","",COUNTIF($E$2:$E223,$E223))</f>
        <v>96</v>
      </c>
      <c r="U223" t="str">
        <f t="shared" si="3"/>
        <v>CLÁSICAS|96</v>
      </c>
    </row>
    <row r="224" spans="1:21" x14ac:dyDescent="0.25">
      <c r="A224" s="95" t="s">
        <v>316</v>
      </c>
      <c r="B224" s="96">
        <v>46175</v>
      </c>
      <c r="C224" s="95" t="s">
        <v>58</v>
      </c>
      <c r="D224" s="95" t="s">
        <v>40</v>
      </c>
      <c r="E224" s="95" t="s">
        <v>185</v>
      </c>
      <c r="F224" s="97">
        <v>0.25</v>
      </c>
      <c r="G224" s="98">
        <v>771</v>
      </c>
      <c r="H224" s="98">
        <v>750</v>
      </c>
      <c r="I224" s="98">
        <v>727.5</v>
      </c>
      <c r="J224" s="98">
        <v>772.5</v>
      </c>
      <c r="K224" s="99"/>
      <c r="L224" s="95" t="s">
        <v>45</v>
      </c>
      <c r="M224" s="95" t="s">
        <v>45</v>
      </c>
      <c r="N224" s="95" t="s">
        <v>45</v>
      </c>
      <c r="O224" s="95" t="s">
        <v>45</v>
      </c>
      <c r="P224" s="95" t="s">
        <v>45</v>
      </c>
      <c r="T224">
        <f>IF($E224="","",COUNTIF($E$2:$E224,$E224))</f>
        <v>15</v>
      </c>
      <c r="U224" t="str">
        <f t="shared" si="3"/>
        <v>PROMOS|15</v>
      </c>
    </row>
    <row r="225" spans="1:21" x14ac:dyDescent="0.25">
      <c r="A225" s="95" t="s">
        <v>317</v>
      </c>
      <c r="B225" s="96">
        <v>46175</v>
      </c>
      <c r="C225" s="95" t="s">
        <v>58</v>
      </c>
      <c r="D225" s="95" t="s">
        <v>40</v>
      </c>
      <c r="E225" s="95" t="s">
        <v>7</v>
      </c>
      <c r="F225" s="97">
        <v>0.29166666666666669</v>
      </c>
      <c r="G225" s="98">
        <v>985</v>
      </c>
      <c r="H225" s="98">
        <v>1010</v>
      </c>
      <c r="I225" s="98">
        <v>979.69999999999993</v>
      </c>
      <c r="J225" s="98">
        <v>1040.3</v>
      </c>
      <c r="K225" s="99"/>
      <c r="L225" s="95" t="s">
        <v>45</v>
      </c>
      <c r="M225" s="95" t="s">
        <v>45</v>
      </c>
      <c r="N225" s="95" t="s">
        <v>45</v>
      </c>
      <c r="O225" s="95" t="s">
        <v>45</v>
      </c>
      <c r="P225" s="95" t="s">
        <v>45</v>
      </c>
      <c r="T225">
        <f>IF($E225="","",COUNTIF($E$2:$E225,$E225))</f>
        <v>97</v>
      </c>
      <c r="U225" t="str">
        <f t="shared" si="3"/>
        <v>CLÁSICAS|97</v>
      </c>
    </row>
    <row r="226" spans="1:21" x14ac:dyDescent="0.25">
      <c r="A226" s="95" t="s">
        <v>318</v>
      </c>
      <c r="B226" s="96">
        <v>46175</v>
      </c>
      <c r="C226" s="95" t="s">
        <v>58</v>
      </c>
      <c r="D226" s="95" t="s">
        <v>40</v>
      </c>
      <c r="E226" s="95" t="s">
        <v>185</v>
      </c>
      <c r="F226" s="97">
        <v>0.29166666666666669</v>
      </c>
      <c r="G226" s="98">
        <v>765</v>
      </c>
      <c r="H226" s="98">
        <v>750</v>
      </c>
      <c r="I226" s="98">
        <v>727.5</v>
      </c>
      <c r="J226" s="98">
        <v>772.5</v>
      </c>
      <c r="K226" s="99"/>
      <c r="L226" s="95" t="s">
        <v>45</v>
      </c>
      <c r="M226" s="95" t="s">
        <v>45</v>
      </c>
      <c r="N226" s="95" t="s">
        <v>45</v>
      </c>
      <c r="O226" s="95" t="s">
        <v>45</v>
      </c>
      <c r="P226" s="95" t="s">
        <v>45</v>
      </c>
      <c r="T226">
        <f>IF($E226="","",COUNTIF($E$2:$E226,$E226))</f>
        <v>16</v>
      </c>
      <c r="U226" t="str">
        <f t="shared" si="3"/>
        <v>PROMOS|16</v>
      </c>
    </row>
    <row r="227" spans="1:21" x14ac:dyDescent="0.25">
      <c r="A227" s="95" t="s">
        <v>319</v>
      </c>
      <c r="B227" s="96">
        <v>46175</v>
      </c>
      <c r="C227" s="95" t="s">
        <v>58</v>
      </c>
      <c r="D227" s="95" t="s">
        <v>40</v>
      </c>
      <c r="E227" s="95" t="s">
        <v>185</v>
      </c>
      <c r="F227" s="97">
        <v>0.33333333333333331</v>
      </c>
      <c r="G227" s="98">
        <v>765</v>
      </c>
      <c r="H227" s="98">
        <v>750</v>
      </c>
      <c r="I227" s="98">
        <v>727.5</v>
      </c>
      <c r="J227" s="98">
        <v>772.5</v>
      </c>
      <c r="K227" s="99"/>
      <c r="L227" s="95" t="s">
        <v>45</v>
      </c>
      <c r="M227" s="95" t="s">
        <v>45</v>
      </c>
      <c r="N227" s="95" t="s">
        <v>45</v>
      </c>
      <c r="O227" s="95" t="s">
        <v>45</v>
      </c>
      <c r="P227" s="95" t="s">
        <v>45</v>
      </c>
      <c r="T227">
        <f>IF($E227="","",COUNTIF($E$2:$E227,$E227))</f>
        <v>17</v>
      </c>
      <c r="U227" t="str">
        <f t="shared" si="3"/>
        <v>PROMOS|17</v>
      </c>
    </row>
    <row r="228" spans="1:21" x14ac:dyDescent="0.25">
      <c r="A228" s="95" t="s">
        <v>320</v>
      </c>
      <c r="B228" s="96">
        <v>46175</v>
      </c>
      <c r="C228" s="95" t="s">
        <v>58</v>
      </c>
      <c r="D228" s="95" t="s">
        <v>40</v>
      </c>
      <c r="E228" s="95" t="s">
        <v>7</v>
      </c>
      <c r="F228" s="97">
        <v>0.33333333333333331</v>
      </c>
      <c r="G228" s="98">
        <v>985</v>
      </c>
      <c r="H228" s="98">
        <v>1010</v>
      </c>
      <c r="I228" s="98">
        <v>979.69999999999993</v>
      </c>
      <c r="J228" s="98">
        <v>1040.3</v>
      </c>
      <c r="K228" s="99"/>
      <c r="L228" s="95" t="s">
        <v>45</v>
      </c>
      <c r="M228" s="95" t="s">
        <v>45</v>
      </c>
      <c r="N228" s="95" t="s">
        <v>45</v>
      </c>
      <c r="O228" s="95" t="s">
        <v>45</v>
      </c>
      <c r="P228" s="95" t="s">
        <v>45</v>
      </c>
      <c r="T228">
        <f>IF($E228="","",COUNTIF($E$2:$E228,$E228))</f>
        <v>98</v>
      </c>
      <c r="U228" t="str">
        <f t="shared" si="3"/>
        <v>CLÁSICAS|98</v>
      </c>
    </row>
    <row r="229" spans="1:21" x14ac:dyDescent="0.25">
      <c r="A229" s="95" t="s">
        <v>321</v>
      </c>
      <c r="B229" s="96">
        <v>46175</v>
      </c>
      <c r="C229" s="95" t="s">
        <v>58</v>
      </c>
      <c r="D229" s="95" t="s">
        <v>40</v>
      </c>
      <c r="E229" s="95" t="s">
        <v>7</v>
      </c>
      <c r="F229" s="97">
        <v>0.375</v>
      </c>
      <c r="G229" s="98">
        <v>985</v>
      </c>
      <c r="H229" s="98">
        <v>1010</v>
      </c>
      <c r="I229" s="98">
        <v>979.69999999999993</v>
      </c>
      <c r="J229" s="98">
        <v>1040.3</v>
      </c>
      <c r="K229" s="99"/>
      <c r="L229" s="95" t="s">
        <v>45</v>
      </c>
      <c r="M229" s="95" t="s">
        <v>45</v>
      </c>
      <c r="N229" s="95" t="s">
        <v>45</v>
      </c>
      <c r="O229" s="95" t="s">
        <v>45</v>
      </c>
      <c r="P229" s="95" t="s">
        <v>45</v>
      </c>
      <c r="T229">
        <f>IF($E229="","",COUNTIF($E$2:$E229,$E229))</f>
        <v>99</v>
      </c>
      <c r="U229" t="str">
        <f t="shared" si="3"/>
        <v>CLÁSICAS|99</v>
      </c>
    </row>
    <row r="230" spans="1:21" x14ac:dyDescent="0.25">
      <c r="A230" s="95" t="s">
        <v>322</v>
      </c>
      <c r="B230" s="96">
        <v>46175</v>
      </c>
      <c r="C230" s="95" t="s">
        <v>58</v>
      </c>
      <c r="D230" s="95" t="s">
        <v>40</v>
      </c>
      <c r="E230" s="95" t="s">
        <v>185</v>
      </c>
      <c r="F230" s="97">
        <v>0.375</v>
      </c>
      <c r="G230" s="98">
        <v>765</v>
      </c>
      <c r="H230" s="98">
        <v>750</v>
      </c>
      <c r="I230" s="98">
        <v>727.5</v>
      </c>
      <c r="J230" s="98">
        <v>772.5</v>
      </c>
      <c r="K230" s="99"/>
      <c r="L230" s="95" t="s">
        <v>45</v>
      </c>
      <c r="M230" s="95" t="s">
        <v>45</v>
      </c>
      <c r="N230" s="95" t="s">
        <v>45</v>
      </c>
      <c r="O230" s="95" t="s">
        <v>45</v>
      </c>
      <c r="P230" s="95" t="s">
        <v>45</v>
      </c>
      <c r="T230">
        <f>IF($E230="","",COUNTIF($E$2:$E230,$E230))</f>
        <v>18</v>
      </c>
      <c r="U230" t="str">
        <f t="shared" si="3"/>
        <v>PROMOS|18</v>
      </c>
    </row>
    <row r="231" spans="1:21" x14ac:dyDescent="0.25">
      <c r="A231" s="95" t="s">
        <v>323</v>
      </c>
      <c r="B231" s="96">
        <v>46175</v>
      </c>
      <c r="C231" s="95" t="s">
        <v>58</v>
      </c>
      <c r="D231" s="95" t="s">
        <v>40</v>
      </c>
      <c r="E231" s="95" t="s">
        <v>185</v>
      </c>
      <c r="F231" s="97">
        <v>0.41666666666666669</v>
      </c>
      <c r="G231" s="98">
        <v>770</v>
      </c>
      <c r="H231" s="98">
        <v>750</v>
      </c>
      <c r="I231" s="98">
        <v>727.5</v>
      </c>
      <c r="J231" s="98">
        <v>772.5</v>
      </c>
      <c r="K231" s="99"/>
      <c r="L231" s="95" t="s">
        <v>45</v>
      </c>
      <c r="M231" s="95" t="s">
        <v>45</v>
      </c>
      <c r="N231" s="95" t="s">
        <v>45</v>
      </c>
      <c r="O231" s="95" t="s">
        <v>45</v>
      </c>
      <c r="P231" s="95" t="s">
        <v>45</v>
      </c>
      <c r="T231">
        <f>IF($E231="","",COUNTIF($E$2:$E231,$E231))</f>
        <v>19</v>
      </c>
      <c r="U231" t="str">
        <f t="shared" si="3"/>
        <v>PROMOS|19</v>
      </c>
    </row>
    <row r="232" spans="1:21" x14ac:dyDescent="0.25">
      <c r="A232" s="95" t="s">
        <v>324</v>
      </c>
      <c r="B232" s="96">
        <v>46175</v>
      </c>
      <c r="C232" s="95" t="s">
        <v>58</v>
      </c>
      <c r="D232" s="95" t="s">
        <v>40</v>
      </c>
      <c r="E232" s="95" t="s">
        <v>7</v>
      </c>
      <c r="F232" s="97">
        <v>0.41666666666666669</v>
      </c>
      <c r="G232" s="98">
        <v>990</v>
      </c>
      <c r="H232" s="98">
        <v>1010</v>
      </c>
      <c r="I232" s="98">
        <v>979.69999999999993</v>
      </c>
      <c r="J232" s="98">
        <v>1040.3</v>
      </c>
      <c r="K232" s="99"/>
      <c r="L232" s="95" t="s">
        <v>45</v>
      </c>
      <c r="M232" s="95" t="s">
        <v>45</v>
      </c>
      <c r="N232" s="95" t="s">
        <v>45</v>
      </c>
      <c r="O232" s="95" t="s">
        <v>45</v>
      </c>
      <c r="P232" s="95" t="s">
        <v>45</v>
      </c>
      <c r="T232">
        <f>IF($E232="","",COUNTIF($E$2:$E232,$E232))</f>
        <v>100</v>
      </c>
      <c r="U232" t="str">
        <f t="shared" si="3"/>
        <v>CLÁSICAS|100</v>
      </c>
    </row>
    <row r="233" spans="1:21" x14ac:dyDescent="0.25">
      <c r="A233" s="95" t="s">
        <v>325</v>
      </c>
      <c r="B233" s="96">
        <v>46175</v>
      </c>
      <c r="C233" s="95" t="s">
        <v>58</v>
      </c>
      <c r="D233" s="95" t="s">
        <v>40</v>
      </c>
      <c r="E233" s="95" t="s">
        <v>7</v>
      </c>
      <c r="F233" s="97">
        <v>0.45833333333333331</v>
      </c>
      <c r="G233" s="98">
        <v>985</v>
      </c>
      <c r="H233" s="98">
        <v>1010</v>
      </c>
      <c r="I233" s="98">
        <v>979.69999999999993</v>
      </c>
      <c r="J233" s="98">
        <v>1040.3</v>
      </c>
      <c r="K233" s="99"/>
      <c r="L233" s="95" t="s">
        <v>45</v>
      </c>
      <c r="M233" s="95" t="s">
        <v>45</v>
      </c>
      <c r="N233" s="95" t="s">
        <v>45</v>
      </c>
      <c r="O233" s="95" t="s">
        <v>45</v>
      </c>
      <c r="P233" s="95" t="s">
        <v>45</v>
      </c>
      <c r="T233">
        <f>IF($E233="","",COUNTIF($E$2:$E233,$E233))</f>
        <v>101</v>
      </c>
      <c r="U233" t="str">
        <f t="shared" si="3"/>
        <v>CLÁSICAS|101</v>
      </c>
    </row>
    <row r="234" spans="1:21" x14ac:dyDescent="0.25">
      <c r="A234" s="95" t="s">
        <v>326</v>
      </c>
      <c r="B234" s="96">
        <v>46175</v>
      </c>
      <c r="C234" s="95" t="s">
        <v>58</v>
      </c>
      <c r="D234" s="95" t="s">
        <v>40</v>
      </c>
      <c r="E234" s="95" t="s">
        <v>185</v>
      </c>
      <c r="F234" s="97">
        <v>0.45833333333333331</v>
      </c>
      <c r="G234" s="98">
        <v>760</v>
      </c>
      <c r="H234" s="98">
        <v>750</v>
      </c>
      <c r="I234" s="98">
        <v>727.5</v>
      </c>
      <c r="J234" s="98">
        <v>772.5</v>
      </c>
      <c r="K234" s="99"/>
      <c r="L234" s="95" t="s">
        <v>45</v>
      </c>
      <c r="M234" s="95" t="s">
        <v>45</v>
      </c>
      <c r="N234" s="95" t="s">
        <v>45</v>
      </c>
      <c r="O234" s="95" t="s">
        <v>45</v>
      </c>
      <c r="P234" s="95" t="s">
        <v>45</v>
      </c>
      <c r="T234">
        <f>IF($E234="","",COUNTIF($E$2:$E234,$E234))</f>
        <v>20</v>
      </c>
      <c r="U234" t="str">
        <f t="shared" si="3"/>
        <v>PROMOS|20</v>
      </c>
    </row>
    <row r="235" spans="1:21" x14ac:dyDescent="0.25">
      <c r="A235" s="95" t="s">
        <v>327</v>
      </c>
      <c r="B235" s="96">
        <v>46175</v>
      </c>
      <c r="C235" s="95" t="s">
        <v>58</v>
      </c>
      <c r="D235" s="95" t="s">
        <v>40</v>
      </c>
      <c r="E235" s="95" t="s">
        <v>185</v>
      </c>
      <c r="F235" s="97">
        <v>0.5</v>
      </c>
      <c r="G235" s="98">
        <v>770</v>
      </c>
      <c r="H235" s="98">
        <v>750</v>
      </c>
      <c r="I235" s="98">
        <v>727.5</v>
      </c>
      <c r="J235" s="98">
        <v>772.5</v>
      </c>
      <c r="K235" s="99"/>
      <c r="L235" s="95" t="s">
        <v>45</v>
      </c>
      <c r="M235" s="95" t="s">
        <v>45</v>
      </c>
      <c r="N235" s="95" t="s">
        <v>45</v>
      </c>
      <c r="O235" s="95" t="s">
        <v>45</v>
      </c>
      <c r="P235" s="95" t="s">
        <v>45</v>
      </c>
      <c r="T235">
        <f>IF($E235="","",COUNTIF($E$2:$E235,$E235))</f>
        <v>21</v>
      </c>
      <c r="U235" t="str">
        <f t="shared" si="3"/>
        <v>PROMOS|21</v>
      </c>
    </row>
    <row r="236" spans="1:21" x14ac:dyDescent="0.25">
      <c r="A236" s="95" t="s">
        <v>328</v>
      </c>
      <c r="B236" s="96">
        <v>46175</v>
      </c>
      <c r="C236" s="95" t="s">
        <v>58</v>
      </c>
      <c r="D236" s="95" t="s">
        <v>40</v>
      </c>
      <c r="E236" s="95" t="s">
        <v>7</v>
      </c>
      <c r="F236" s="97">
        <v>0.5</v>
      </c>
      <c r="G236" s="98">
        <v>1000</v>
      </c>
      <c r="H236" s="98">
        <v>1010</v>
      </c>
      <c r="I236" s="98">
        <v>979.69999999999993</v>
      </c>
      <c r="J236" s="98">
        <v>1040.3</v>
      </c>
      <c r="K236" s="99"/>
      <c r="L236" s="95" t="s">
        <v>45</v>
      </c>
      <c r="M236" s="95" t="s">
        <v>45</v>
      </c>
      <c r="N236" s="95" t="s">
        <v>45</v>
      </c>
      <c r="O236" s="95" t="s">
        <v>45</v>
      </c>
      <c r="P236" s="95" t="s">
        <v>45</v>
      </c>
      <c r="T236">
        <f>IF($E236="","",COUNTIF($E$2:$E236,$E236))</f>
        <v>102</v>
      </c>
      <c r="U236" t="str">
        <f t="shared" si="3"/>
        <v>CLÁSICAS|102</v>
      </c>
    </row>
    <row r="237" spans="1:21" x14ac:dyDescent="0.25">
      <c r="A237" s="95" t="s">
        <v>329</v>
      </c>
      <c r="B237" s="96">
        <v>46176</v>
      </c>
      <c r="C237" s="95" t="s">
        <v>58</v>
      </c>
      <c r="D237" s="95" t="s">
        <v>40</v>
      </c>
      <c r="E237" s="95" t="s">
        <v>7</v>
      </c>
      <c r="F237" s="97">
        <v>0.25</v>
      </c>
      <c r="G237" s="98">
        <v>990</v>
      </c>
      <c r="H237" s="98">
        <v>1010</v>
      </c>
      <c r="I237" s="98">
        <v>979.69999999999993</v>
      </c>
      <c r="J237" s="98">
        <v>1040.3</v>
      </c>
      <c r="K237" s="99"/>
      <c r="L237" s="95" t="s">
        <v>45</v>
      </c>
      <c r="M237" s="95" t="s">
        <v>45</v>
      </c>
      <c r="N237" s="95" t="s">
        <v>45</v>
      </c>
      <c r="O237" s="95" t="s">
        <v>45</v>
      </c>
      <c r="P237" s="95" t="s">
        <v>45</v>
      </c>
      <c r="T237">
        <f>IF($E237="","",COUNTIF($E$2:$E237,$E237))</f>
        <v>103</v>
      </c>
      <c r="U237" t="str">
        <f t="shared" si="3"/>
        <v>CLÁSICAS|103</v>
      </c>
    </row>
    <row r="238" spans="1:21" x14ac:dyDescent="0.25">
      <c r="A238" s="95" t="s">
        <v>330</v>
      </c>
      <c r="B238" s="96">
        <v>46176</v>
      </c>
      <c r="C238" s="95" t="s">
        <v>58</v>
      </c>
      <c r="D238" s="95" t="s">
        <v>40</v>
      </c>
      <c r="E238" s="95" t="s">
        <v>185</v>
      </c>
      <c r="F238" s="97">
        <v>0.25</v>
      </c>
      <c r="G238" s="98">
        <v>760</v>
      </c>
      <c r="H238" s="98">
        <v>750</v>
      </c>
      <c r="I238" s="98">
        <v>727.5</v>
      </c>
      <c r="J238" s="98">
        <v>772.5</v>
      </c>
      <c r="K238" s="99"/>
      <c r="L238" s="95" t="s">
        <v>45</v>
      </c>
      <c r="M238" s="95" t="s">
        <v>45</v>
      </c>
      <c r="N238" s="95" t="s">
        <v>45</v>
      </c>
      <c r="O238" s="95" t="s">
        <v>45</v>
      </c>
      <c r="P238" s="95" t="s">
        <v>45</v>
      </c>
      <c r="T238">
        <f>IF($E238="","",COUNTIF($E$2:$E238,$E238))</f>
        <v>22</v>
      </c>
      <c r="U238" t="str">
        <f t="shared" si="3"/>
        <v>PROMOS|22</v>
      </c>
    </row>
    <row r="239" spans="1:21" x14ac:dyDescent="0.25">
      <c r="A239" s="95" t="s">
        <v>331</v>
      </c>
      <c r="B239" s="96">
        <v>46176</v>
      </c>
      <c r="C239" s="95" t="s">
        <v>58</v>
      </c>
      <c r="D239" s="95" t="s">
        <v>40</v>
      </c>
      <c r="E239" s="95" t="s">
        <v>185</v>
      </c>
      <c r="F239" s="97">
        <v>0.29166666666666669</v>
      </c>
      <c r="G239" s="98">
        <v>765</v>
      </c>
      <c r="H239" s="98">
        <v>750</v>
      </c>
      <c r="I239" s="98">
        <v>727.5</v>
      </c>
      <c r="J239" s="98">
        <v>772.5</v>
      </c>
      <c r="K239" s="99"/>
      <c r="L239" s="95" t="s">
        <v>45</v>
      </c>
      <c r="M239" s="95" t="s">
        <v>45</v>
      </c>
      <c r="N239" s="95" t="s">
        <v>45</v>
      </c>
      <c r="O239" s="95" t="s">
        <v>45</v>
      </c>
      <c r="P239" s="95" t="s">
        <v>45</v>
      </c>
      <c r="T239">
        <f>IF($E239="","",COUNTIF($E$2:$E239,$E239))</f>
        <v>23</v>
      </c>
      <c r="U239" t="str">
        <f t="shared" si="3"/>
        <v>PROMOS|23</v>
      </c>
    </row>
    <row r="240" spans="1:21" x14ac:dyDescent="0.25">
      <c r="A240" s="95" t="s">
        <v>332</v>
      </c>
      <c r="B240" s="96">
        <v>46176</v>
      </c>
      <c r="C240" s="95" t="s">
        <v>58</v>
      </c>
      <c r="D240" s="95" t="s">
        <v>40</v>
      </c>
      <c r="E240" s="95" t="s">
        <v>7</v>
      </c>
      <c r="F240" s="97">
        <v>0.29166666666666669</v>
      </c>
      <c r="G240" s="98">
        <v>995</v>
      </c>
      <c r="H240" s="98">
        <v>1010</v>
      </c>
      <c r="I240" s="98">
        <v>979.69999999999993</v>
      </c>
      <c r="J240" s="98">
        <v>1040.3</v>
      </c>
      <c r="K240" s="99"/>
      <c r="L240" s="95" t="s">
        <v>45</v>
      </c>
      <c r="M240" s="95" t="s">
        <v>45</v>
      </c>
      <c r="N240" s="95" t="s">
        <v>45</v>
      </c>
      <c r="O240" s="95" t="s">
        <v>45</v>
      </c>
      <c r="P240" s="95" t="s">
        <v>45</v>
      </c>
      <c r="T240">
        <f>IF($E240="","",COUNTIF($E$2:$E240,$E240))</f>
        <v>104</v>
      </c>
      <c r="U240" t="str">
        <f t="shared" si="3"/>
        <v>CLÁSICAS|104</v>
      </c>
    </row>
    <row r="241" spans="1:21" x14ac:dyDescent="0.25">
      <c r="A241" s="95" t="s">
        <v>333</v>
      </c>
      <c r="B241" s="96">
        <v>46176</v>
      </c>
      <c r="C241" s="95" t="s">
        <v>58</v>
      </c>
      <c r="D241" s="95" t="s">
        <v>40</v>
      </c>
      <c r="E241" s="95" t="s">
        <v>7</v>
      </c>
      <c r="F241" s="97">
        <v>0.33333333333333331</v>
      </c>
      <c r="G241" s="98">
        <v>990</v>
      </c>
      <c r="H241" s="98">
        <v>1010</v>
      </c>
      <c r="I241" s="98">
        <v>979.69999999999993</v>
      </c>
      <c r="J241" s="98">
        <v>1040.3</v>
      </c>
      <c r="K241" s="99"/>
      <c r="L241" s="95" t="s">
        <v>45</v>
      </c>
      <c r="M241" s="95" t="s">
        <v>45</v>
      </c>
      <c r="N241" s="95" t="s">
        <v>45</v>
      </c>
      <c r="O241" s="95" t="s">
        <v>45</v>
      </c>
      <c r="P241" s="95" t="s">
        <v>45</v>
      </c>
      <c r="T241">
        <f>IF($E241="","",COUNTIF($E$2:$E241,$E241))</f>
        <v>105</v>
      </c>
      <c r="U241" t="str">
        <f t="shared" si="3"/>
        <v>CLÁSICAS|105</v>
      </c>
    </row>
    <row r="242" spans="1:21" x14ac:dyDescent="0.25">
      <c r="A242" s="95" t="s">
        <v>334</v>
      </c>
      <c r="B242" s="96">
        <v>46176</v>
      </c>
      <c r="C242" s="95" t="s">
        <v>58</v>
      </c>
      <c r="D242" s="95" t="s">
        <v>40</v>
      </c>
      <c r="E242" s="95" t="s">
        <v>185</v>
      </c>
      <c r="F242" s="97">
        <v>0.33333333333333331</v>
      </c>
      <c r="G242" s="98">
        <v>765</v>
      </c>
      <c r="H242" s="98">
        <v>750</v>
      </c>
      <c r="I242" s="98">
        <v>727.5</v>
      </c>
      <c r="J242" s="98">
        <v>772.5</v>
      </c>
      <c r="K242" s="99"/>
      <c r="L242" s="95" t="s">
        <v>45</v>
      </c>
      <c r="M242" s="95" t="s">
        <v>45</v>
      </c>
      <c r="N242" s="95" t="s">
        <v>45</v>
      </c>
      <c r="O242" s="95" t="s">
        <v>45</v>
      </c>
      <c r="P242" s="95" t="s">
        <v>45</v>
      </c>
      <c r="T242">
        <f>IF($E242="","",COUNTIF($E$2:$E242,$E242))</f>
        <v>24</v>
      </c>
      <c r="U242" t="str">
        <f t="shared" si="3"/>
        <v>PROMOS|24</v>
      </c>
    </row>
    <row r="243" spans="1:21" x14ac:dyDescent="0.25">
      <c r="A243" s="95" t="s">
        <v>335</v>
      </c>
      <c r="B243" s="96">
        <v>46176</v>
      </c>
      <c r="C243" s="95" t="s">
        <v>58</v>
      </c>
      <c r="D243" s="95" t="s">
        <v>40</v>
      </c>
      <c r="E243" s="95" t="s">
        <v>185</v>
      </c>
      <c r="F243" s="97">
        <v>0.375</v>
      </c>
      <c r="G243" s="98">
        <v>760</v>
      </c>
      <c r="H243" s="98">
        <v>750</v>
      </c>
      <c r="I243" s="98">
        <v>727.5</v>
      </c>
      <c r="J243" s="98">
        <v>772.5</v>
      </c>
      <c r="K243" s="99"/>
      <c r="L243" s="95" t="s">
        <v>45</v>
      </c>
      <c r="M243" s="95" t="s">
        <v>45</v>
      </c>
      <c r="N243" s="95" t="s">
        <v>45</v>
      </c>
      <c r="O243" s="95" t="s">
        <v>45</v>
      </c>
      <c r="P243" s="95" t="s">
        <v>45</v>
      </c>
      <c r="T243">
        <f>IF($E243="","",COUNTIF($E$2:$E243,$E243))</f>
        <v>25</v>
      </c>
      <c r="U243" t="str">
        <f t="shared" si="3"/>
        <v>PROMOS|25</v>
      </c>
    </row>
    <row r="244" spans="1:21" x14ac:dyDescent="0.25">
      <c r="A244" s="95" t="s">
        <v>336</v>
      </c>
      <c r="B244" s="96">
        <v>46176</v>
      </c>
      <c r="C244" s="95" t="s">
        <v>58</v>
      </c>
      <c r="D244" s="95" t="s">
        <v>40</v>
      </c>
      <c r="E244" s="95" t="s">
        <v>7</v>
      </c>
      <c r="F244" s="97">
        <v>0.375</v>
      </c>
      <c r="G244" s="98">
        <v>990</v>
      </c>
      <c r="H244" s="98">
        <v>1010</v>
      </c>
      <c r="I244" s="98">
        <v>979.69999999999993</v>
      </c>
      <c r="J244" s="98">
        <v>1040.3</v>
      </c>
      <c r="K244" s="99"/>
      <c r="L244" s="95" t="s">
        <v>45</v>
      </c>
      <c r="M244" s="95" t="s">
        <v>45</v>
      </c>
      <c r="N244" s="95" t="s">
        <v>45</v>
      </c>
      <c r="O244" s="95" t="s">
        <v>45</v>
      </c>
      <c r="P244" s="95" t="s">
        <v>45</v>
      </c>
      <c r="T244">
        <f>IF($E244="","",COUNTIF($E$2:$E244,$E244))</f>
        <v>106</v>
      </c>
      <c r="U244" t="str">
        <f t="shared" si="3"/>
        <v>CLÁSICAS|106</v>
      </c>
    </row>
    <row r="245" spans="1:21" x14ac:dyDescent="0.25">
      <c r="A245" s="95" t="s">
        <v>337</v>
      </c>
      <c r="B245" s="96">
        <v>46176</v>
      </c>
      <c r="C245" s="95" t="s">
        <v>104</v>
      </c>
      <c r="D245" s="95" t="s">
        <v>40</v>
      </c>
      <c r="E245" s="95" t="s">
        <v>7</v>
      </c>
      <c r="F245" s="97">
        <v>0.41666666666666669</v>
      </c>
      <c r="G245" s="98">
        <v>1015</v>
      </c>
      <c r="H245" s="98">
        <v>1010</v>
      </c>
      <c r="I245" s="98">
        <v>979.69999999999993</v>
      </c>
      <c r="J245" s="98">
        <v>1040.3</v>
      </c>
      <c r="K245" s="99"/>
      <c r="L245" s="95" t="s">
        <v>45</v>
      </c>
      <c r="M245" s="95" t="s">
        <v>45</v>
      </c>
      <c r="N245" s="95" t="s">
        <v>45</v>
      </c>
      <c r="O245" s="95" t="s">
        <v>45</v>
      </c>
      <c r="P245" s="95" t="s">
        <v>45</v>
      </c>
      <c r="T245">
        <f>IF($E245="","",COUNTIF($E$2:$E245,$E245))</f>
        <v>107</v>
      </c>
      <c r="U245" t="str">
        <f t="shared" si="3"/>
        <v>CLÁSICAS|107</v>
      </c>
    </row>
    <row r="246" spans="1:21" x14ac:dyDescent="0.25">
      <c r="A246" s="95" t="s">
        <v>338</v>
      </c>
      <c r="B246" s="96">
        <v>46176</v>
      </c>
      <c r="C246" s="95" t="s">
        <v>104</v>
      </c>
      <c r="D246" s="95" t="s">
        <v>40</v>
      </c>
      <c r="E246" s="95" t="s">
        <v>185</v>
      </c>
      <c r="F246" s="97">
        <v>0.41666666666666669</v>
      </c>
      <c r="G246" s="98">
        <v>785</v>
      </c>
      <c r="H246" s="98">
        <v>750</v>
      </c>
      <c r="I246" s="98">
        <v>727.5</v>
      </c>
      <c r="J246" s="98">
        <v>772.5</v>
      </c>
      <c r="K246" s="99"/>
      <c r="L246" s="95" t="s">
        <v>45</v>
      </c>
      <c r="M246" s="95" t="s">
        <v>45</v>
      </c>
      <c r="N246" s="95" t="s">
        <v>45</v>
      </c>
      <c r="O246" s="95" t="s">
        <v>45</v>
      </c>
      <c r="P246" s="95" t="s">
        <v>45</v>
      </c>
      <c r="T246">
        <f>IF($E246="","",COUNTIF($E$2:$E246,$E246))</f>
        <v>26</v>
      </c>
      <c r="U246" t="str">
        <f t="shared" si="3"/>
        <v>PROMOS|26</v>
      </c>
    </row>
    <row r="247" spans="1:21" x14ac:dyDescent="0.25">
      <c r="A247" s="95" t="s">
        <v>339</v>
      </c>
      <c r="B247" s="96">
        <v>46176</v>
      </c>
      <c r="C247" s="95" t="s">
        <v>104</v>
      </c>
      <c r="D247" s="95" t="s">
        <v>40</v>
      </c>
      <c r="E247" s="95" t="s">
        <v>7</v>
      </c>
      <c r="F247" s="97">
        <v>0.45833333333333331</v>
      </c>
      <c r="G247" s="98">
        <v>980</v>
      </c>
      <c r="H247" s="98">
        <v>1010</v>
      </c>
      <c r="I247" s="98">
        <v>979.69999999999993</v>
      </c>
      <c r="J247" s="98">
        <v>1040.3</v>
      </c>
      <c r="K247" s="99"/>
      <c r="L247" s="95" t="s">
        <v>45</v>
      </c>
      <c r="M247" s="95" t="s">
        <v>45</v>
      </c>
      <c r="N247" s="95" t="s">
        <v>45</v>
      </c>
      <c r="O247" s="95" t="s">
        <v>45</v>
      </c>
      <c r="P247" s="95" t="s">
        <v>45</v>
      </c>
      <c r="T247">
        <f>IF($E247="","",COUNTIF($E$2:$E247,$E247))</f>
        <v>108</v>
      </c>
      <c r="U247" t="str">
        <f t="shared" si="3"/>
        <v>CLÁSICAS|108</v>
      </c>
    </row>
    <row r="248" spans="1:21" x14ac:dyDescent="0.25">
      <c r="A248" s="95" t="s">
        <v>340</v>
      </c>
      <c r="B248" s="96">
        <v>46176</v>
      </c>
      <c r="C248" s="95" t="s">
        <v>104</v>
      </c>
      <c r="D248" s="95" t="s">
        <v>40</v>
      </c>
      <c r="E248" s="95" t="s">
        <v>185</v>
      </c>
      <c r="F248" s="97">
        <v>0.45833333333333331</v>
      </c>
      <c r="G248" s="98">
        <v>790</v>
      </c>
      <c r="H248" s="98">
        <v>750</v>
      </c>
      <c r="I248" s="98">
        <v>727.5</v>
      </c>
      <c r="J248" s="98">
        <v>772.5</v>
      </c>
      <c r="K248" s="99"/>
      <c r="L248" s="95" t="s">
        <v>45</v>
      </c>
      <c r="M248" s="95" t="s">
        <v>45</v>
      </c>
      <c r="N248" s="95" t="s">
        <v>45</v>
      </c>
      <c r="O248" s="95" t="s">
        <v>45</v>
      </c>
      <c r="P248" s="95" t="s">
        <v>45</v>
      </c>
      <c r="T248">
        <f>IF($E248="","",COUNTIF($E$2:$E248,$E248))</f>
        <v>27</v>
      </c>
      <c r="U248" t="str">
        <f t="shared" si="3"/>
        <v>PROMOS|27</v>
      </c>
    </row>
    <row r="249" spans="1:21" x14ac:dyDescent="0.25">
      <c r="A249" s="95" t="s">
        <v>341</v>
      </c>
      <c r="B249" s="96">
        <v>46176</v>
      </c>
      <c r="C249" s="95" t="s">
        <v>104</v>
      </c>
      <c r="D249" s="95" t="s">
        <v>40</v>
      </c>
      <c r="E249" s="95" t="s">
        <v>7</v>
      </c>
      <c r="F249" s="97">
        <v>0.5</v>
      </c>
      <c r="G249" s="98">
        <v>990</v>
      </c>
      <c r="H249" s="98">
        <v>1010</v>
      </c>
      <c r="I249" s="98">
        <v>979.69999999999993</v>
      </c>
      <c r="J249" s="98">
        <v>1040.3</v>
      </c>
      <c r="K249" s="99"/>
      <c r="L249" s="95" t="s">
        <v>45</v>
      </c>
      <c r="M249" s="95" t="s">
        <v>45</v>
      </c>
      <c r="N249" s="95" t="s">
        <v>45</v>
      </c>
      <c r="O249" s="95" t="s">
        <v>45</v>
      </c>
      <c r="P249" s="95" t="s">
        <v>45</v>
      </c>
      <c r="T249">
        <f>IF($E249="","",COUNTIF($E$2:$E249,$E249))</f>
        <v>109</v>
      </c>
      <c r="U249" t="str">
        <f t="shared" si="3"/>
        <v>CLÁSICAS|109</v>
      </c>
    </row>
    <row r="250" spans="1:21" x14ac:dyDescent="0.25">
      <c r="A250" s="95" t="s">
        <v>342</v>
      </c>
      <c r="B250" s="96">
        <v>46176</v>
      </c>
      <c r="C250" s="95" t="s">
        <v>104</v>
      </c>
      <c r="D250" s="95" t="s">
        <v>40</v>
      </c>
      <c r="E250" s="95" t="s">
        <v>185</v>
      </c>
      <c r="F250" s="97">
        <v>0.5</v>
      </c>
      <c r="G250" s="98">
        <v>795</v>
      </c>
      <c r="H250" s="98">
        <v>750</v>
      </c>
      <c r="I250" s="98">
        <v>727.5</v>
      </c>
      <c r="J250" s="98">
        <v>772.5</v>
      </c>
      <c r="K250" s="99"/>
      <c r="L250" s="95" t="s">
        <v>45</v>
      </c>
      <c r="M250" s="95" t="s">
        <v>45</v>
      </c>
      <c r="N250" s="95" t="s">
        <v>45</v>
      </c>
      <c r="O250" s="95" t="s">
        <v>45</v>
      </c>
      <c r="P250" s="95" t="s">
        <v>45</v>
      </c>
      <c r="T250">
        <f>IF($E250="","",COUNTIF($E$2:$E250,$E250))</f>
        <v>28</v>
      </c>
      <c r="U250" t="str">
        <f t="shared" si="3"/>
        <v>PROMOS|28</v>
      </c>
    </row>
    <row r="251" spans="1:21" x14ac:dyDescent="0.25">
      <c r="A251" s="95" t="s">
        <v>343</v>
      </c>
      <c r="B251" s="96">
        <v>46177</v>
      </c>
      <c r="C251" s="95" t="s">
        <v>58</v>
      </c>
      <c r="D251" s="95" t="s">
        <v>40</v>
      </c>
      <c r="E251" s="95" t="s">
        <v>7</v>
      </c>
      <c r="F251" s="97">
        <v>0.5</v>
      </c>
      <c r="G251" s="98">
        <v>990</v>
      </c>
      <c r="H251" s="98">
        <v>1010</v>
      </c>
      <c r="I251" s="98">
        <v>979.69999999999993</v>
      </c>
      <c r="J251" s="98">
        <v>1040.3</v>
      </c>
      <c r="K251" s="99"/>
      <c r="L251" s="95" t="s">
        <v>45</v>
      </c>
      <c r="M251" s="95" t="s">
        <v>45</v>
      </c>
      <c r="N251" s="95" t="s">
        <v>45</v>
      </c>
      <c r="O251" s="95" t="s">
        <v>45</v>
      </c>
      <c r="P251" s="95" t="s">
        <v>45</v>
      </c>
      <c r="T251">
        <f>IF($E251="","",COUNTIF($E$2:$E251,$E251))</f>
        <v>110</v>
      </c>
      <c r="U251" t="str">
        <f t="shared" si="3"/>
        <v>CLÁSICAS|110</v>
      </c>
    </row>
    <row r="252" spans="1:21" x14ac:dyDescent="0.25">
      <c r="A252" s="95" t="s">
        <v>344</v>
      </c>
      <c r="B252" s="96">
        <v>46177</v>
      </c>
      <c r="C252" s="95" t="s">
        <v>58</v>
      </c>
      <c r="D252" s="95" t="s">
        <v>40</v>
      </c>
      <c r="E252" s="95" t="s">
        <v>60</v>
      </c>
      <c r="F252" s="97">
        <v>0.5</v>
      </c>
      <c r="G252" s="98">
        <v>980</v>
      </c>
      <c r="H252" s="98">
        <v>992.5</v>
      </c>
      <c r="I252" s="98">
        <v>962.72500000000002</v>
      </c>
      <c r="J252" s="98">
        <v>1022.275</v>
      </c>
      <c r="K252" s="99"/>
      <c r="L252" s="95" t="s">
        <v>45</v>
      </c>
      <c r="M252" s="95" t="s">
        <v>45</v>
      </c>
      <c r="N252" s="95" t="s">
        <v>45</v>
      </c>
      <c r="O252" s="95" t="s">
        <v>45</v>
      </c>
      <c r="P252" s="95" t="s">
        <v>45</v>
      </c>
      <c r="T252">
        <f>IF($E252="","",COUNTIF($E$2:$E252,$E252))</f>
        <v>89</v>
      </c>
      <c r="U252" t="str">
        <f t="shared" si="3"/>
        <v>CERVICALES|89</v>
      </c>
    </row>
    <row r="253" spans="1:21" x14ac:dyDescent="0.25">
      <c r="A253" s="95" t="s">
        <v>345</v>
      </c>
      <c r="B253" s="96">
        <v>46177</v>
      </c>
      <c r="C253" s="95" t="s">
        <v>58</v>
      </c>
      <c r="D253" s="95" t="s">
        <v>40</v>
      </c>
      <c r="E253" s="95" t="s">
        <v>60</v>
      </c>
      <c r="F253" s="97">
        <v>0.29166666666666669</v>
      </c>
      <c r="G253" s="98">
        <v>980</v>
      </c>
      <c r="H253" s="98">
        <v>992.5</v>
      </c>
      <c r="I253" s="98">
        <v>962.72500000000002</v>
      </c>
      <c r="J253" s="98">
        <v>1022.275</v>
      </c>
      <c r="K253" s="99"/>
      <c r="L253" s="95" t="s">
        <v>45</v>
      </c>
      <c r="M253" s="95" t="s">
        <v>45</v>
      </c>
      <c r="N253" s="95" t="s">
        <v>45</v>
      </c>
      <c r="O253" s="95" t="s">
        <v>45</v>
      </c>
      <c r="P253" s="95" t="s">
        <v>45</v>
      </c>
      <c r="T253">
        <f>IF($E253="","",COUNTIF($E$2:$E253,$E253))</f>
        <v>90</v>
      </c>
      <c r="U253" t="str">
        <f t="shared" si="3"/>
        <v>CERVICALES|90</v>
      </c>
    </row>
    <row r="254" spans="1:21" x14ac:dyDescent="0.25">
      <c r="A254" s="95" t="s">
        <v>346</v>
      </c>
      <c r="B254" s="96">
        <v>46177</v>
      </c>
      <c r="C254" s="95" t="s">
        <v>58</v>
      </c>
      <c r="D254" s="95" t="s">
        <v>40</v>
      </c>
      <c r="E254" s="95" t="s">
        <v>7</v>
      </c>
      <c r="F254" s="97">
        <v>0.29166666666666669</v>
      </c>
      <c r="G254" s="98">
        <v>995</v>
      </c>
      <c r="H254" s="98">
        <v>1010</v>
      </c>
      <c r="I254" s="98">
        <v>979.69999999999993</v>
      </c>
      <c r="J254" s="98">
        <v>1040.3</v>
      </c>
      <c r="K254" s="99"/>
      <c r="L254" s="95" t="s">
        <v>45</v>
      </c>
      <c r="M254" s="95" t="s">
        <v>45</v>
      </c>
      <c r="N254" s="95" t="s">
        <v>45</v>
      </c>
      <c r="O254" s="95" t="s">
        <v>45</v>
      </c>
      <c r="P254" s="95" t="s">
        <v>45</v>
      </c>
      <c r="T254">
        <f>IF($E254="","",COUNTIF($E$2:$E254,$E254))</f>
        <v>111</v>
      </c>
      <c r="U254" t="str">
        <f t="shared" si="3"/>
        <v>CLÁSICAS|111</v>
      </c>
    </row>
    <row r="255" spans="1:21" x14ac:dyDescent="0.25">
      <c r="A255" s="95" t="s">
        <v>347</v>
      </c>
      <c r="B255" s="96">
        <v>46177</v>
      </c>
      <c r="C255" s="95" t="s">
        <v>58</v>
      </c>
      <c r="D255" s="95" t="s">
        <v>40</v>
      </c>
      <c r="E255" s="95" t="s">
        <v>7</v>
      </c>
      <c r="F255" s="97">
        <v>0.33333333333333331</v>
      </c>
      <c r="G255" s="98">
        <v>995</v>
      </c>
      <c r="H255" s="98">
        <v>1010</v>
      </c>
      <c r="I255" s="98">
        <v>979.69999999999993</v>
      </c>
      <c r="J255" s="98">
        <v>1040.3</v>
      </c>
      <c r="K255" s="99"/>
      <c r="L255" s="95" t="s">
        <v>45</v>
      </c>
      <c r="M255" s="95" t="s">
        <v>45</v>
      </c>
      <c r="N255" s="95" t="s">
        <v>45</v>
      </c>
      <c r="O255" s="95" t="s">
        <v>45</v>
      </c>
      <c r="P255" s="95" t="s">
        <v>45</v>
      </c>
      <c r="T255">
        <f>IF($E255="","",COUNTIF($E$2:$E255,$E255))</f>
        <v>112</v>
      </c>
      <c r="U255" t="str">
        <f t="shared" si="3"/>
        <v>CLÁSICAS|112</v>
      </c>
    </row>
    <row r="256" spans="1:21" x14ac:dyDescent="0.25">
      <c r="A256" s="95" t="s">
        <v>348</v>
      </c>
      <c r="B256" s="96">
        <v>46177</v>
      </c>
      <c r="C256" s="95" t="s">
        <v>58</v>
      </c>
      <c r="D256" s="95" t="s">
        <v>40</v>
      </c>
      <c r="E256" s="95" t="s">
        <v>60</v>
      </c>
      <c r="F256" s="97">
        <v>0.33333333333333331</v>
      </c>
      <c r="G256" s="98">
        <v>975</v>
      </c>
      <c r="H256" s="98">
        <v>992.5</v>
      </c>
      <c r="I256" s="98">
        <v>962.72500000000002</v>
      </c>
      <c r="J256" s="98">
        <v>1022.275</v>
      </c>
      <c r="K256" s="99"/>
      <c r="L256" s="95" t="s">
        <v>45</v>
      </c>
      <c r="M256" s="95" t="s">
        <v>45</v>
      </c>
      <c r="N256" s="95" t="s">
        <v>45</v>
      </c>
      <c r="O256" s="95" t="s">
        <v>45</v>
      </c>
      <c r="P256" s="95" t="s">
        <v>45</v>
      </c>
      <c r="T256">
        <f>IF($E256="","",COUNTIF($E$2:$E256,$E256))</f>
        <v>91</v>
      </c>
      <c r="U256" t="str">
        <f t="shared" si="3"/>
        <v>CERVICALES|91</v>
      </c>
    </row>
    <row r="257" spans="1:21" x14ac:dyDescent="0.25">
      <c r="A257" s="95" t="s">
        <v>349</v>
      </c>
      <c r="B257" s="96">
        <v>46177</v>
      </c>
      <c r="C257" s="95" t="s">
        <v>58</v>
      </c>
      <c r="D257" s="95" t="s">
        <v>40</v>
      </c>
      <c r="E257" s="95" t="s">
        <v>60</v>
      </c>
      <c r="F257" s="97">
        <v>0.375</v>
      </c>
      <c r="G257" s="98">
        <v>970</v>
      </c>
      <c r="H257" s="98">
        <v>992.5</v>
      </c>
      <c r="I257" s="98">
        <v>962.72500000000002</v>
      </c>
      <c r="J257" s="98">
        <v>1022.275</v>
      </c>
      <c r="K257" s="99"/>
      <c r="L257" s="95" t="s">
        <v>45</v>
      </c>
      <c r="M257" s="95" t="s">
        <v>45</v>
      </c>
      <c r="N257" s="95" t="s">
        <v>45</v>
      </c>
      <c r="O257" s="95" t="s">
        <v>45</v>
      </c>
      <c r="P257" s="95" t="s">
        <v>45</v>
      </c>
      <c r="T257">
        <f>IF($E257="","",COUNTIF($E$2:$E257,$E257))</f>
        <v>92</v>
      </c>
      <c r="U257" t="str">
        <f t="shared" si="3"/>
        <v>CERVICALES|92</v>
      </c>
    </row>
    <row r="258" spans="1:21" x14ac:dyDescent="0.25">
      <c r="A258" s="95" t="s">
        <v>350</v>
      </c>
      <c r="B258" s="96">
        <v>46177</v>
      </c>
      <c r="C258" s="95" t="s">
        <v>58</v>
      </c>
      <c r="D258" s="95" t="s">
        <v>40</v>
      </c>
      <c r="E258" s="95" t="s">
        <v>7</v>
      </c>
      <c r="F258" s="97">
        <v>0.375</v>
      </c>
      <c r="G258" s="98">
        <v>990</v>
      </c>
      <c r="H258" s="98">
        <v>1010</v>
      </c>
      <c r="I258" s="98">
        <v>979.69999999999993</v>
      </c>
      <c r="J258" s="98">
        <v>1040.3</v>
      </c>
      <c r="K258" s="99"/>
      <c r="L258" s="95" t="s">
        <v>45</v>
      </c>
      <c r="M258" s="95" t="s">
        <v>45</v>
      </c>
      <c r="N258" s="95" t="s">
        <v>45</v>
      </c>
      <c r="O258" s="95" t="s">
        <v>45</v>
      </c>
      <c r="P258" s="95" t="s">
        <v>45</v>
      </c>
      <c r="T258">
        <f>IF($E258="","",COUNTIF($E$2:$E258,$E258))</f>
        <v>113</v>
      </c>
      <c r="U258" t="str">
        <f t="shared" ref="U258:U321" si="4">IF($E258="","",$E258&amp;"|"&amp;T258)</f>
        <v>CLÁSICAS|113</v>
      </c>
    </row>
    <row r="259" spans="1:21" x14ac:dyDescent="0.25">
      <c r="A259" s="95" t="s">
        <v>351</v>
      </c>
      <c r="B259" s="96">
        <v>46177</v>
      </c>
      <c r="C259" s="95" t="s">
        <v>58</v>
      </c>
      <c r="D259" s="95" t="s">
        <v>40</v>
      </c>
      <c r="E259" s="95" t="s">
        <v>7</v>
      </c>
      <c r="F259" s="97">
        <v>0.41666666666666669</v>
      </c>
      <c r="G259" s="98">
        <v>990</v>
      </c>
      <c r="H259" s="98">
        <v>1010</v>
      </c>
      <c r="I259" s="98">
        <v>979.69999999999993</v>
      </c>
      <c r="J259" s="98">
        <v>1040.3</v>
      </c>
      <c r="K259" s="99"/>
      <c r="L259" s="95" t="s">
        <v>45</v>
      </c>
      <c r="M259" s="95" t="s">
        <v>45</v>
      </c>
      <c r="N259" s="95" t="s">
        <v>45</v>
      </c>
      <c r="O259" s="95" t="s">
        <v>45</v>
      </c>
      <c r="P259" s="95" t="s">
        <v>45</v>
      </c>
      <c r="T259">
        <f>IF($E259="","",COUNTIF($E$2:$E259,$E259))</f>
        <v>114</v>
      </c>
      <c r="U259" t="str">
        <f t="shared" si="4"/>
        <v>CLÁSICAS|114</v>
      </c>
    </row>
    <row r="260" spans="1:21" x14ac:dyDescent="0.25">
      <c r="A260" s="95" t="s">
        <v>352</v>
      </c>
      <c r="B260" s="96">
        <v>46177</v>
      </c>
      <c r="C260" s="95" t="s">
        <v>58</v>
      </c>
      <c r="D260" s="95" t="s">
        <v>40</v>
      </c>
      <c r="E260" s="95" t="s">
        <v>60</v>
      </c>
      <c r="F260" s="97">
        <v>0.41666666666666669</v>
      </c>
      <c r="G260" s="98">
        <v>980</v>
      </c>
      <c r="H260" s="98">
        <v>992.5</v>
      </c>
      <c r="I260" s="98">
        <v>962.72500000000002</v>
      </c>
      <c r="J260" s="98">
        <v>1022.275</v>
      </c>
      <c r="K260" s="99"/>
      <c r="L260" s="95" t="s">
        <v>45</v>
      </c>
      <c r="M260" s="95" t="s">
        <v>45</v>
      </c>
      <c r="N260" s="95" t="s">
        <v>45</v>
      </c>
      <c r="O260" s="95" t="s">
        <v>45</v>
      </c>
      <c r="P260" s="95" t="s">
        <v>45</v>
      </c>
      <c r="T260">
        <f>IF($E260="","",COUNTIF($E$2:$E260,$E260))</f>
        <v>93</v>
      </c>
      <c r="U260" t="str">
        <f t="shared" si="4"/>
        <v>CERVICALES|93</v>
      </c>
    </row>
    <row r="261" spans="1:21" x14ac:dyDescent="0.25">
      <c r="A261" s="95" t="s">
        <v>353</v>
      </c>
      <c r="B261" s="96">
        <v>46177</v>
      </c>
      <c r="C261" s="95" t="s">
        <v>58</v>
      </c>
      <c r="D261" s="95" t="s">
        <v>40</v>
      </c>
      <c r="E261" s="95" t="s">
        <v>60</v>
      </c>
      <c r="F261" s="97">
        <v>0.45833333333333331</v>
      </c>
      <c r="G261" s="98">
        <v>995</v>
      </c>
      <c r="H261" s="98">
        <v>992.5</v>
      </c>
      <c r="I261" s="98">
        <v>962.72500000000002</v>
      </c>
      <c r="J261" s="98">
        <v>1022.275</v>
      </c>
      <c r="K261" s="99"/>
      <c r="L261" s="95" t="s">
        <v>45</v>
      </c>
      <c r="M261" s="95" t="s">
        <v>45</v>
      </c>
      <c r="N261" s="95" t="s">
        <v>45</v>
      </c>
      <c r="O261" s="95" t="s">
        <v>45</v>
      </c>
      <c r="P261" s="95" t="s">
        <v>45</v>
      </c>
      <c r="T261">
        <f>IF($E261="","",COUNTIF($E$2:$E261,$E261))</f>
        <v>94</v>
      </c>
      <c r="U261" t="str">
        <f t="shared" si="4"/>
        <v>CERVICALES|94</v>
      </c>
    </row>
    <row r="262" spans="1:21" x14ac:dyDescent="0.25">
      <c r="A262" s="95" t="s">
        <v>354</v>
      </c>
      <c r="B262" s="96">
        <v>46177</v>
      </c>
      <c r="C262" s="95" t="s">
        <v>58</v>
      </c>
      <c r="D262" s="95" t="s">
        <v>40</v>
      </c>
      <c r="E262" s="95" t="s">
        <v>7</v>
      </c>
      <c r="F262" s="97">
        <v>0.45833333333333331</v>
      </c>
      <c r="G262" s="98">
        <v>990</v>
      </c>
      <c r="H262" s="98">
        <v>1010</v>
      </c>
      <c r="I262" s="98">
        <v>979.69999999999993</v>
      </c>
      <c r="J262" s="98">
        <v>1040.3</v>
      </c>
      <c r="K262" s="99"/>
      <c r="L262" s="95" t="s">
        <v>45</v>
      </c>
      <c r="M262" s="95" t="s">
        <v>45</v>
      </c>
      <c r="N262" s="95" t="s">
        <v>45</v>
      </c>
      <c r="O262" s="95" t="s">
        <v>45</v>
      </c>
      <c r="P262" s="95" t="s">
        <v>45</v>
      </c>
      <c r="T262">
        <f>IF($E262="","",COUNTIF($E$2:$E262,$E262))</f>
        <v>115</v>
      </c>
      <c r="U262" t="str">
        <f t="shared" si="4"/>
        <v>CLÁSICAS|115</v>
      </c>
    </row>
    <row r="263" spans="1:21" x14ac:dyDescent="0.25">
      <c r="A263" s="95" t="s">
        <v>355</v>
      </c>
      <c r="B263" s="96">
        <v>46178</v>
      </c>
      <c r="C263" s="95" t="s">
        <v>58</v>
      </c>
      <c r="D263" s="95" t="s">
        <v>40</v>
      </c>
      <c r="E263" s="95" t="s">
        <v>7</v>
      </c>
      <c r="F263" s="97">
        <v>0.33333333333333331</v>
      </c>
      <c r="G263" s="98">
        <v>990</v>
      </c>
      <c r="H263" s="98">
        <v>1010</v>
      </c>
      <c r="I263" s="98">
        <v>979.69999999999993</v>
      </c>
      <c r="J263" s="98">
        <v>1040.3</v>
      </c>
      <c r="K263" s="99"/>
      <c r="L263" s="95" t="s">
        <v>45</v>
      </c>
      <c r="M263" s="95" t="s">
        <v>45</v>
      </c>
      <c r="N263" s="95" t="s">
        <v>45</v>
      </c>
      <c r="O263" s="95" t="s">
        <v>45</v>
      </c>
      <c r="P263" s="95" t="s">
        <v>45</v>
      </c>
      <c r="T263">
        <f>IF($E263="","",COUNTIF($E$2:$E263,$E263))</f>
        <v>116</v>
      </c>
      <c r="U263" t="str">
        <f t="shared" si="4"/>
        <v>CLÁSICAS|116</v>
      </c>
    </row>
    <row r="264" spans="1:21" x14ac:dyDescent="0.25">
      <c r="A264" s="95" t="s">
        <v>356</v>
      </c>
      <c r="B264" s="96">
        <v>46178</v>
      </c>
      <c r="C264" s="95" t="s">
        <v>58</v>
      </c>
      <c r="D264" s="95" t="s">
        <v>40</v>
      </c>
      <c r="E264" s="95" t="s">
        <v>60</v>
      </c>
      <c r="F264" s="97">
        <v>0.33333333333333331</v>
      </c>
      <c r="G264" s="98">
        <v>975</v>
      </c>
      <c r="H264" s="98">
        <v>992.5</v>
      </c>
      <c r="I264" s="98">
        <v>962.72500000000002</v>
      </c>
      <c r="J264" s="98">
        <v>1022.275</v>
      </c>
      <c r="K264" s="99"/>
      <c r="L264" s="95" t="s">
        <v>45</v>
      </c>
      <c r="M264" s="95" t="s">
        <v>45</v>
      </c>
      <c r="N264" s="95" t="s">
        <v>45</v>
      </c>
      <c r="O264" s="95" t="s">
        <v>45</v>
      </c>
      <c r="P264" s="95" t="s">
        <v>45</v>
      </c>
      <c r="T264">
        <f>IF($E264="","",COUNTIF($E$2:$E264,$E264))</f>
        <v>95</v>
      </c>
      <c r="U264" t="str">
        <f t="shared" si="4"/>
        <v>CERVICALES|95</v>
      </c>
    </row>
    <row r="265" spans="1:21" x14ac:dyDescent="0.25">
      <c r="A265" s="95" t="s">
        <v>357</v>
      </c>
      <c r="B265" s="96">
        <v>46178</v>
      </c>
      <c r="C265" s="95" t="s">
        <v>58</v>
      </c>
      <c r="D265" s="95" t="s">
        <v>40</v>
      </c>
      <c r="E265" s="95" t="s">
        <v>60</v>
      </c>
      <c r="F265" s="97">
        <v>0.375</v>
      </c>
      <c r="G265" s="98">
        <v>975</v>
      </c>
      <c r="H265" s="98">
        <v>992.5</v>
      </c>
      <c r="I265" s="98">
        <v>962.72500000000002</v>
      </c>
      <c r="J265" s="98">
        <v>1022.275</v>
      </c>
      <c r="K265" s="99"/>
      <c r="L265" s="95" t="s">
        <v>45</v>
      </c>
      <c r="M265" s="95" t="s">
        <v>45</v>
      </c>
      <c r="N265" s="95" t="s">
        <v>45</v>
      </c>
      <c r="O265" s="95" t="s">
        <v>45</v>
      </c>
      <c r="P265" s="95" t="s">
        <v>45</v>
      </c>
      <c r="T265">
        <f>IF($E265="","",COUNTIF($E$2:$E265,$E265))</f>
        <v>96</v>
      </c>
      <c r="U265" t="str">
        <f t="shared" si="4"/>
        <v>CERVICALES|96</v>
      </c>
    </row>
    <row r="266" spans="1:21" x14ac:dyDescent="0.25">
      <c r="A266" s="95" t="s">
        <v>358</v>
      </c>
      <c r="B266" s="96">
        <v>46178</v>
      </c>
      <c r="C266" s="95" t="s">
        <v>58</v>
      </c>
      <c r="D266" s="95" t="s">
        <v>40</v>
      </c>
      <c r="E266" s="95" t="s">
        <v>7</v>
      </c>
      <c r="F266" s="97">
        <v>0.375</v>
      </c>
      <c r="G266" s="98">
        <v>985</v>
      </c>
      <c r="H266" s="98">
        <v>1010</v>
      </c>
      <c r="I266" s="98">
        <v>979.69999999999993</v>
      </c>
      <c r="J266" s="98">
        <v>1040.3</v>
      </c>
      <c r="K266" s="99"/>
      <c r="L266" s="95" t="s">
        <v>45</v>
      </c>
      <c r="M266" s="95" t="s">
        <v>45</v>
      </c>
      <c r="N266" s="95" t="s">
        <v>45</v>
      </c>
      <c r="O266" s="95" t="s">
        <v>45</v>
      </c>
      <c r="P266" s="95" t="s">
        <v>45</v>
      </c>
      <c r="T266">
        <f>IF($E266="","",COUNTIF($E$2:$E266,$E266))</f>
        <v>117</v>
      </c>
      <c r="U266" t="str">
        <f t="shared" si="4"/>
        <v>CLÁSICAS|117</v>
      </c>
    </row>
    <row r="267" spans="1:21" x14ac:dyDescent="0.25">
      <c r="A267" s="95" t="s">
        <v>359</v>
      </c>
      <c r="B267" s="96">
        <v>46178</v>
      </c>
      <c r="C267" s="95" t="s">
        <v>58</v>
      </c>
      <c r="D267" s="95" t="s">
        <v>40</v>
      </c>
      <c r="E267" s="95" t="s">
        <v>7</v>
      </c>
      <c r="F267" s="97">
        <v>0.41666666666666669</v>
      </c>
      <c r="G267" s="98">
        <v>975</v>
      </c>
      <c r="H267" s="98">
        <v>1010</v>
      </c>
      <c r="I267" s="98">
        <v>979.69999999999993</v>
      </c>
      <c r="J267" s="98">
        <v>1040.3</v>
      </c>
      <c r="K267" s="99"/>
      <c r="L267" s="95" t="s">
        <v>45</v>
      </c>
      <c r="M267" s="95" t="s">
        <v>45</v>
      </c>
      <c r="N267" s="95" t="s">
        <v>45</v>
      </c>
      <c r="O267" s="95" t="s">
        <v>45</v>
      </c>
      <c r="P267" s="95" t="s">
        <v>45</v>
      </c>
      <c r="T267">
        <f>IF($E267="","",COUNTIF($E$2:$E267,$E267))</f>
        <v>118</v>
      </c>
      <c r="U267" t="str">
        <f t="shared" si="4"/>
        <v>CLÁSICAS|118</v>
      </c>
    </row>
    <row r="268" spans="1:21" x14ac:dyDescent="0.25">
      <c r="A268" s="95" t="s">
        <v>360</v>
      </c>
      <c r="B268" s="96">
        <v>46178</v>
      </c>
      <c r="C268" s="95" t="s">
        <v>58</v>
      </c>
      <c r="D268" s="95" t="s">
        <v>40</v>
      </c>
      <c r="E268" s="95" t="s">
        <v>60</v>
      </c>
      <c r="F268" s="97">
        <v>0.41666666666666669</v>
      </c>
      <c r="G268" s="98">
        <v>975</v>
      </c>
      <c r="H268" s="98">
        <v>992.5</v>
      </c>
      <c r="I268" s="98">
        <v>962.72500000000002</v>
      </c>
      <c r="J268" s="98">
        <v>1022.275</v>
      </c>
      <c r="K268" s="99"/>
      <c r="L268" s="95" t="s">
        <v>45</v>
      </c>
      <c r="M268" s="95" t="s">
        <v>45</v>
      </c>
      <c r="N268" s="95" t="s">
        <v>45</v>
      </c>
      <c r="O268" s="95" t="s">
        <v>45</v>
      </c>
      <c r="P268" s="95" t="s">
        <v>45</v>
      </c>
      <c r="T268">
        <f>IF($E268="","",COUNTIF($E$2:$E268,$E268))</f>
        <v>97</v>
      </c>
      <c r="U268" t="str">
        <f t="shared" si="4"/>
        <v>CERVICALES|97</v>
      </c>
    </row>
    <row r="269" spans="1:21" x14ac:dyDescent="0.25">
      <c r="A269" s="95" t="s">
        <v>361</v>
      </c>
      <c r="B269" s="96">
        <v>46181</v>
      </c>
      <c r="C269" s="95" t="s">
        <v>58</v>
      </c>
      <c r="D269" s="95" t="s">
        <v>40</v>
      </c>
      <c r="E269" s="95" t="s">
        <v>7</v>
      </c>
      <c r="F269" s="97">
        <v>0.375</v>
      </c>
      <c r="G269" s="98">
        <v>995</v>
      </c>
      <c r="H269" s="98">
        <v>1010</v>
      </c>
      <c r="I269" s="98">
        <v>979.69999999999993</v>
      </c>
      <c r="J269" s="98">
        <v>1040.3</v>
      </c>
      <c r="K269" s="99"/>
      <c r="L269" s="95" t="s">
        <v>45</v>
      </c>
      <c r="M269" s="95" t="s">
        <v>45</v>
      </c>
      <c r="N269" s="95" t="s">
        <v>45</v>
      </c>
      <c r="O269" s="95" t="s">
        <v>45</v>
      </c>
      <c r="P269" s="95" t="s">
        <v>45</v>
      </c>
      <c r="T269">
        <f>IF($E269="","",COUNTIF($E$2:$E269,$E269))</f>
        <v>119</v>
      </c>
      <c r="U269" t="str">
        <f t="shared" si="4"/>
        <v>CLÁSICAS|119</v>
      </c>
    </row>
    <row r="270" spans="1:21" x14ac:dyDescent="0.25">
      <c r="A270" s="95" t="s">
        <v>362</v>
      </c>
      <c r="B270" s="96">
        <v>46181</v>
      </c>
      <c r="C270" s="95" t="s">
        <v>58</v>
      </c>
      <c r="D270" s="95" t="s">
        <v>40</v>
      </c>
      <c r="E270" s="95" t="s">
        <v>60</v>
      </c>
      <c r="F270" s="97">
        <v>0.375</v>
      </c>
      <c r="G270" s="98">
        <v>980</v>
      </c>
      <c r="H270" s="98">
        <v>992.5</v>
      </c>
      <c r="I270" s="98">
        <v>962.72500000000002</v>
      </c>
      <c r="J270" s="98">
        <v>1022.275</v>
      </c>
      <c r="K270" s="99"/>
      <c r="L270" s="95" t="s">
        <v>45</v>
      </c>
      <c r="M270" s="95" t="s">
        <v>45</v>
      </c>
      <c r="N270" s="95" t="s">
        <v>45</v>
      </c>
      <c r="O270" s="95" t="s">
        <v>45</v>
      </c>
      <c r="P270" s="95" t="s">
        <v>45</v>
      </c>
      <c r="T270">
        <f>IF($E270="","",COUNTIF($E$2:$E270,$E270))</f>
        <v>98</v>
      </c>
      <c r="U270" t="str">
        <f t="shared" si="4"/>
        <v>CERVICALES|98</v>
      </c>
    </row>
    <row r="271" spans="1:21" x14ac:dyDescent="0.25">
      <c r="A271" s="95" t="s">
        <v>363</v>
      </c>
      <c r="B271" s="96">
        <v>46181</v>
      </c>
      <c r="C271" s="95" t="s">
        <v>58</v>
      </c>
      <c r="D271" s="95" t="s">
        <v>40</v>
      </c>
      <c r="E271" s="95" t="s">
        <v>60</v>
      </c>
      <c r="F271" s="97">
        <v>0.41666666666666669</v>
      </c>
      <c r="G271" s="98">
        <v>980</v>
      </c>
      <c r="H271" s="98">
        <v>992.5</v>
      </c>
      <c r="I271" s="98">
        <v>962.72500000000002</v>
      </c>
      <c r="J271" s="98">
        <v>1022.275</v>
      </c>
      <c r="K271" s="99"/>
      <c r="L271" s="95" t="s">
        <v>45</v>
      </c>
      <c r="M271" s="95" t="s">
        <v>45</v>
      </c>
      <c r="N271" s="95" t="s">
        <v>45</v>
      </c>
      <c r="O271" s="95" t="s">
        <v>45</v>
      </c>
      <c r="P271" s="95" t="s">
        <v>45</v>
      </c>
      <c r="T271">
        <f>IF($E271="","",COUNTIF($E$2:$E271,$E271))</f>
        <v>99</v>
      </c>
      <c r="U271" t="str">
        <f t="shared" si="4"/>
        <v>CERVICALES|99</v>
      </c>
    </row>
    <row r="272" spans="1:21" x14ac:dyDescent="0.25">
      <c r="A272" s="95" t="s">
        <v>364</v>
      </c>
      <c r="B272" s="96">
        <v>46181</v>
      </c>
      <c r="C272" s="95" t="s">
        <v>58</v>
      </c>
      <c r="D272" s="95" t="s">
        <v>40</v>
      </c>
      <c r="E272" s="95" t="s">
        <v>7</v>
      </c>
      <c r="F272" s="97">
        <v>0.41666666666666669</v>
      </c>
      <c r="G272" s="98">
        <v>995</v>
      </c>
      <c r="H272" s="98">
        <v>1010</v>
      </c>
      <c r="I272" s="98">
        <v>979.69999999999993</v>
      </c>
      <c r="J272" s="98">
        <v>1040.3</v>
      </c>
      <c r="K272" s="99"/>
      <c r="L272" s="95" t="s">
        <v>45</v>
      </c>
      <c r="M272" s="95" t="s">
        <v>45</v>
      </c>
      <c r="N272" s="95" t="s">
        <v>45</v>
      </c>
      <c r="O272" s="95" t="s">
        <v>45</v>
      </c>
      <c r="P272" s="95" t="s">
        <v>45</v>
      </c>
      <c r="T272">
        <f>IF($E272="","",COUNTIF($E$2:$E272,$E272))</f>
        <v>120</v>
      </c>
      <c r="U272" t="str">
        <f t="shared" si="4"/>
        <v>CLÁSICAS|120</v>
      </c>
    </row>
    <row r="273" spans="1:21" x14ac:dyDescent="0.25">
      <c r="A273" s="95" t="s">
        <v>365</v>
      </c>
      <c r="B273" s="96">
        <v>46181</v>
      </c>
      <c r="C273" s="95" t="s">
        <v>58</v>
      </c>
      <c r="D273" s="95" t="s">
        <v>40</v>
      </c>
      <c r="E273" s="95" t="s">
        <v>7</v>
      </c>
      <c r="F273" s="97">
        <v>0.45833333333333331</v>
      </c>
      <c r="G273" s="98">
        <v>995</v>
      </c>
      <c r="H273" s="98">
        <v>1010</v>
      </c>
      <c r="I273" s="98">
        <v>979.69999999999993</v>
      </c>
      <c r="J273" s="98">
        <v>1040.3</v>
      </c>
      <c r="K273" s="99"/>
      <c r="L273" s="95" t="s">
        <v>45</v>
      </c>
      <c r="M273" s="95" t="s">
        <v>45</v>
      </c>
      <c r="N273" s="95" t="s">
        <v>45</v>
      </c>
      <c r="O273" s="95" t="s">
        <v>45</v>
      </c>
      <c r="P273" s="95" t="s">
        <v>45</v>
      </c>
      <c r="T273">
        <f>IF($E273="","",COUNTIF($E$2:$E273,$E273))</f>
        <v>121</v>
      </c>
      <c r="U273" t="str">
        <f t="shared" si="4"/>
        <v>CLÁSICAS|121</v>
      </c>
    </row>
    <row r="274" spans="1:21" x14ac:dyDescent="0.25">
      <c r="A274" s="95" t="s">
        <v>366</v>
      </c>
      <c r="B274" s="96">
        <v>46181</v>
      </c>
      <c r="C274" s="95" t="s">
        <v>58</v>
      </c>
      <c r="D274" s="95" t="s">
        <v>40</v>
      </c>
      <c r="E274" s="95" t="s">
        <v>60</v>
      </c>
      <c r="F274" s="97">
        <v>0.45833333333333331</v>
      </c>
      <c r="G274" s="98">
        <v>995</v>
      </c>
      <c r="H274" s="98">
        <v>992.5</v>
      </c>
      <c r="I274" s="98">
        <v>962.72500000000002</v>
      </c>
      <c r="J274" s="98">
        <v>1022.275</v>
      </c>
      <c r="K274" s="99"/>
      <c r="L274" s="95" t="s">
        <v>45</v>
      </c>
      <c r="M274" s="95" t="s">
        <v>45</v>
      </c>
      <c r="N274" s="95" t="s">
        <v>45</v>
      </c>
      <c r="O274" s="95" t="s">
        <v>45</v>
      </c>
      <c r="P274" s="95" t="s">
        <v>45</v>
      </c>
      <c r="T274">
        <f>IF($E274="","",COUNTIF($E$2:$E274,$E274))</f>
        <v>100</v>
      </c>
      <c r="U274" t="str">
        <f t="shared" si="4"/>
        <v>CERVICALES|100</v>
      </c>
    </row>
    <row r="275" spans="1:21" x14ac:dyDescent="0.25">
      <c r="A275" s="95" t="s">
        <v>367</v>
      </c>
      <c r="B275" s="96">
        <v>46181</v>
      </c>
      <c r="C275" s="95" t="s">
        <v>58</v>
      </c>
      <c r="D275" s="95" t="s">
        <v>40</v>
      </c>
      <c r="E275" s="95" t="s">
        <v>60</v>
      </c>
      <c r="F275" s="97">
        <v>0.5</v>
      </c>
      <c r="G275" s="98">
        <v>990</v>
      </c>
      <c r="H275" s="98">
        <v>992.5</v>
      </c>
      <c r="I275" s="98">
        <v>962.72500000000002</v>
      </c>
      <c r="J275" s="98">
        <v>1022.275</v>
      </c>
      <c r="K275" s="99"/>
      <c r="L275" s="95" t="s">
        <v>45</v>
      </c>
      <c r="M275" s="95" t="s">
        <v>45</v>
      </c>
      <c r="N275" s="95" t="s">
        <v>45</v>
      </c>
      <c r="O275" s="95" t="s">
        <v>45</v>
      </c>
      <c r="P275" s="95" t="s">
        <v>45</v>
      </c>
      <c r="T275">
        <f>IF($E275="","",COUNTIF($E$2:$E275,$E275))</f>
        <v>101</v>
      </c>
      <c r="U275" t="str">
        <f t="shared" si="4"/>
        <v>CERVICALES|101</v>
      </c>
    </row>
    <row r="276" spans="1:21" x14ac:dyDescent="0.25">
      <c r="A276" s="95" t="s">
        <v>368</v>
      </c>
      <c r="B276" s="96">
        <v>46181</v>
      </c>
      <c r="C276" s="95" t="s">
        <v>58</v>
      </c>
      <c r="D276" s="95" t="s">
        <v>40</v>
      </c>
      <c r="E276" s="95" t="s">
        <v>7</v>
      </c>
      <c r="F276" s="97">
        <v>0.5</v>
      </c>
      <c r="G276" s="98">
        <v>995</v>
      </c>
      <c r="H276" s="98">
        <v>1010</v>
      </c>
      <c r="I276" s="98">
        <v>979.69999999999993</v>
      </c>
      <c r="J276" s="98">
        <v>1040.3</v>
      </c>
      <c r="K276" s="99"/>
      <c r="L276" s="95" t="s">
        <v>45</v>
      </c>
      <c r="M276" s="95" t="s">
        <v>45</v>
      </c>
      <c r="N276" s="95" t="s">
        <v>45</v>
      </c>
      <c r="O276" s="95" t="s">
        <v>45</v>
      </c>
      <c r="P276" s="95" t="s">
        <v>45</v>
      </c>
      <c r="T276">
        <f>IF($E276="","",COUNTIF($E$2:$E276,$E276))</f>
        <v>122</v>
      </c>
      <c r="U276" t="str">
        <f t="shared" si="4"/>
        <v>CLÁSICAS|122</v>
      </c>
    </row>
    <row r="277" spans="1:21" x14ac:dyDescent="0.25">
      <c r="A277" s="95" t="s">
        <v>369</v>
      </c>
      <c r="B277" s="96">
        <v>46181</v>
      </c>
      <c r="C277" s="95" t="s">
        <v>58</v>
      </c>
      <c r="D277" s="95" t="s">
        <v>40</v>
      </c>
      <c r="E277" s="95" t="s">
        <v>7</v>
      </c>
      <c r="F277" s="97">
        <v>0.54166666666666663</v>
      </c>
      <c r="G277" s="98">
        <v>995</v>
      </c>
      <c r="H277" s="98">
        <v>1010</v>
      </c>
      <c r="I277" s="98">
        <v>979.69999999999993</v>
      </c>
      <c r="J277" s="98">
        <v>1040.3</v>
      </c>
      <c r="K277" s="99"/>
      <c r="L277" s="95" t="s">
        <v>45</v>
      </c>
      <c r="M277" s="95" t="s">
        <v>45</v>
      </c>
      <c r="N277" s="95" t="s">
        <v>45</v>
      </c>
      <c r="O277" s="95" t="s">
        <v>45</v>
      </c>
      <c r="P277" s="95" t="s">
        <v>45</v>
      </c>
      <c r="T277">
        <f>IF($E277="","",COUNTIF($E$2:$E277,$E277))</f>
        <v>123</v>
      </c>
      <c r="U277" t="str">
        <f t="shared" si="4"/>
        <v>CLÁSICAS|123</v>
      </c>
    </row>
    <row r="278" spans="1:21" x14ac:dyDescent="0.25">
      <c r="A278" s="95" t="s">
        <v>370</v>
      </c>
      <c r="B278" s="96">
        <v>46181</v>
      </c>
      <c r="C278" s="95" t="s">
        <v>58</v>
      </c>
      <c r="D278" s="95" t="s">
        <v>40</v>
      </c>
      <c r="E278" s="95" t="s">
        <v>60</v>
      </c>
      <c r="F278" s="97">
        <v>0.54166666666666663</v>
      </c>
      <c r="G278" s="98">
        <v>985</v>
      </c>
      <c r="H278" s="98">
        <v>992.5</v>
      </c>
      <c r="I278" s="98">
        <v>962.72500000000002</v>
      </c>
      <c r="J278" s="98">
        <v>1022.275</v>
      </c>
      <c r="K278" s="99"/>
      <c r="L278" s="95" t="s">
        <v>45</v>
      </c>
      <c r="M278" s="95" t="s">
        <v>45</v>
      </c>
      <c r="N278" s="95" t="s">
        <v>45</v>
      </c>
      <c r="O278" s="95" t="s">
        <v>45</v>
      </c>
      <c r="P278" s="95" t="s">
        <v>45</v>
      </c>
      <c r="T278">
        <f>IF($E278="","",COUNTIF($E$2:$E278,$E278))</f>
        <v>102</v>
      </c>
      <c r="U278" t="str">
        <f t="shared" si="4"/>
        <v>CERVICALES|102</v>
      </c>
    </row>
    <row r="279" spans="1:21" x14ac:dyDescent="0.25">
      <c r="A279" s="95" t="s">
        <v>371</v>
      </c>
      <c r="B279" s="96">
        <v>46182</v>
      </c>
      <c r="C279" s="95" t="s">
        <v>58</v>
      </c>
      <c r="D279" s="95" t="s">
        <v>40</v>
      </c>
      <c r="E279" s="95" t="s">
        <v>7</v>
      </c>
      <c r="F279" s="97">
        <v>0.25</v>
      </c>
      <c r="G279" s="98">
        <v>985</v>
      </c>
      <c r="H279" s="98">
        <v>1010</v>
      </c>
      <c r="I279" s="98">
        <v>979.69999999999993</v>
      </c>
      <c r="J279" s="98">
        <v>1040.3</v>
      </c>
      <c r="K279" s="99"/>
      <c r="L279" s="95" t="s">
        <v>45</v>
      </c>
      <c r="M279" s="95" t="s">
        <v>45</v>
      </c>
      <c r="N279" s="95" t="s">
        <v>45</v>
      </c>
      <c r="O279" s="95" t="s">
        <v>45</v>
      </c>
      <c r="P279" s="95" t="s">
        <v>45</v>
      </c>
      <c r="T279">
        <f>IF($E279="","",COUNTIF($E$2:$E279,$E279))</f>
        <v>124</v>
      </c>
      <c r="U279" t="str">
        <f t="shared" si="4"/>
        <v>CLÁSICAS|124</v>
      </c>
    </row>
    <row r="280" spans="1:21" x14ac:dyDescent="0.25">
      <c r="A280" s="95" t="s">
        <v>372</v>
      </c>
      <c r="B280" s="96">
        <v>46182</v>
      </c>
      <c r="C280" s="95" t="s">
        <v>58</v>
      </c>
      <c r="D280" s="95" t="s">
        <v>40</v>
      </c>
      <c r="E280" s="95" t="s">
        <v>60</v>
      </c>
      <c r="F280" s="97">
        <v>0.25</v>
      </c>
      <c r="G280" s="98">
        <v>970</v>
      </c>
      <c r="H280" s="98">
        <v>992.5</v>
      </c>
      <c r="I280" s="98">
        <v>962.72500000000002</v>
      </c>
      <c r="J280" s="98">
        <v>1022.275</v>
      </c>
      <c r="K280" s="99"/>
      <c r="L280" s="95" t="s">
        <v>45</v>
      </c>
      <c r="M280" s="95" t="s">
        <v>45</v>
      </c>
      <c r="N280" s="95" t="s">
        <v>45</v>
      </c>
      <c r="O280" s="95" t="s">
        <v>45</v>
      </c>
      <c r="P280" s="95" t="s">
        <v>45</v>
      </c>
      <c r="T280">
        <f>IF($E280="","",COUNTIF($E$2:$E280,$E280))</f>
        <v>103</v>
      </c>
      <c r="U280" t="str">
        <f t="shared" si="4"/>
        <v>CERVICALES|103</v>
      </c>
    </row>
    <row r="281" spans="1:21" x14ac:dyDescent="0.25">
      <c r="A281" s="95" t="s">
        <v>373</v>
      </c>
      <c r="B281" s="96">
        <v>46182</v>
      </c>
      <c r="C281" s="95" t="s">
        <v>58</v>
      </c>
      <c r="D281" s="95" t="s">
        <v>40</v>
      </c>
      <c r="E281" s="95" t="s">
        <v>60</v>
      </c>
      <c r="F281" s="97">
        <v>0.29166666666666669</v>
      </c>
      <c r="G281" s="98">
        <v>970</v>
      </c>
      <c r="H281" s="98">
        <v>992.5</v>
      </c>
      <c r="I281" s="98">
        <v>962.72500000000002</v>
      </c>
      <c r="J281" s="98">
        <v>1022.275</v>
      </c>
      <c r="K281" s="99"/>
      <c r="L281" s="95" t="s">
        <v>45</v>
      </c>
      <c r="M281" s="95" t="s">
        <v>45</v>
      </c>
      <c r="N281" s="95" t="s">
        <v>45</v>
      </c>
      <c r="O281" s="95" t="s">
        <v>45</v>
      </c>
      <c r="P281" s="95" t="s">
        <v>45</v>
      </c>
      <c r="T281">
        <f>IF($E281="","",COUNTIF($E$2:$E281,$E281))</f>
        <v>104</v>
      </c>
      <c r="U281" t="str">
        <f t="shared" si="4"/>
        <v>CERVICALES|104</v>
      </c>
    </row>
    <row r="282" spans="1:21" x14ac:dyDescent="0.25">
      <c r="A282" s="95" t="s">
        <v>374</v>
      </c>
      <c r="B282" s="96">
        <v>46182</v>
      </c>
      <c r="C282" s="95" t="s">
        <v>58</v>
      </c>
      <c r="D282" s="95" t="s">
        <v>40</v>
      </c>
      <c r="E282" s="95" t="s">
        <v>7</v>
      </c>
      <c r="F282" s="97">
        <v>0.29166666666666669</v>
      </c>
      <c r="G282" s="98">
        <v>995</v>
      </c>
      <c r="H282" s="98">
        <v>1010</v>
      </c>
      <c r="I282" s="98">
        <v>979.69999999999993</v>
      </c>
      <c r="J282" s="98">
        <v>1040.3</v>
      </c>
      <c r="K282" s="99"/>
      <c r="L282" s="95" t="s">
        <v>45</v>
      </c>
      <c r="M282" s="95" t="s">
        <v>45</v>
      </c>
      <c r="N282" s="95" t="s">
        <v>45</v>
      </c>
      <c r="O282" s="95" t="s">
        <v>45</v>
      </c>
      <c r="P282" s="95" t="s">
        <v>45</v>
      </c>
      <c r="T282">
        <f>IF($E282="","",COUNTIF($E$2:$E282,$E282))</f>
        <v>125</v>
      </c>
      <c r="U282" t="str">
        <f t="shared" si="4"/>
        <v>CLÁSICAS|125</v>
      </c>
    </row>
    <row r="283" spans="1:21" x14ac:dyDescent="0.25">
      <c r="A283" s="95" t="s">
        <v>375</v>
      </c>
      <c r="B283" s="96">
        <v>46182</v>
      </c>
      <c r="C283" s="95" t="s">
        <v>58</v>
      </c>
      <c r="D283" s="95" t="s">
        <v>40</v>
      </c>
      <c r="E283" s="95" t="s">
        <v>7</v>
      </c>
      <c r="F283" s="97">
        <v>0.33333333333333331</v>
      </c>
      <c r="G283" s="98">
        <v>995</v>
      </c>
      <c r="H283" s="98">
        <v>1010</v>
      </c>
      <c r="I283" s="98">
        <v>979.69999999999993</v>
      </c>
      <c r="J283" s="98">
        <v>1040.3</v>
      </c>
      <c r="K283" s="99"/>
      <c r="L283" s="95" t="s">
        <v>45</v>
      </c>
      <c r="M283" s="95" t="s">
        <v>45</v>
      </c>
      <c r="N283" s="95" t="s">
        <v>45</v>
      </c>
      <c r="O283" s="95" t="s">
        <v>45</v>
      </c>
      <c r="P283" s="95" t="s">
        <v>45</v>
      </c>
      <c r="T283">
        <f>IF($E283="","",COUNTIF($E$2:$E283,$E283))</f>
        <v>126</v>
      </c>
      <c r="U283" t="str">
        <f t="shared" si="4"/>
        <v>CLÁSICAS|126</v>
      </c>
    </row>
    <row r="284" spans="1:21" x14ac:dyDescent="0.25">
      <c r="A284" s="95" t="s">
        <v>376</v>
      </c>
      <c r="B284" s="96">
        <v>46182</v>
      </c>
      <c r="C284" s="95" t="s">
        <v>58</v>
      </c>
      <c r="D284" s="95" t="s">
        <v>40</v>
      </c>
      <c r="E284" s="95" t="s">
        <v>60</v>
      </c>
      <c r="F284" s="97">
        <v>0.33333333333333331</v>
      </c>
      <c r="G284" s="98">
        <v>975</v>
      </c>
      <c r="H284" s="98">
        <v>992.5</v>
      </c>
      <c r="I284" s="98">
        <v>962.72500000000002</v>
      </c>
      <c r="J284" s="98">
        <v>1022.275</v>
      </c>
      <c r="K284" s="99"/>
      <c r="L284" s="95" t="s">
        <v>45</v>
      </c>
      <c r="M284" s="95" t="s">
        <v>45</v>
      </c>
      <c r="N284" s="95" t="s">
        <v>45</v>
      </c>
      <c r="O284" s="95" t="s">
        <v>45</v>
      </c>
      <c r="P284" s="95" t="s">
        <v>45</v>
      </c>
      <c r="T284">
        <f>IF($E284="","",COUNTIF($E$2:$E284,$E284))</f>
        <v>105</v>
      </c>
      <c r="U284" t="str">
        <f t="shared" si="4"/>
        <v>CERVICALES|105</v>
      </c>
    </row>
    <row r="285" spans="1:21" x14ac:dyDescent="0.25">
      <c r="A285" s="95" t="s">
        <v>377</v>
      </c>
      <c r="B285" s="96">
        <v>46182</v>
      </c>
      <c r="C285" s="95" t="s">
        <v>58</v>
      </c>
      <c r="D285" s="95" t="s">
        <v>40</v>
      </c>
      <c r="E285" s="95" t="s">
        <v>60</v>
      </c>
      <c r="F285" s="97">
        <v>0.375</v>
      </c>
      <c r="G285" s="98">
        <v>975</v>
      </c>
      <c r="H285" s="98">
        <v>992.5</v>
      </c>
      <c r="I285" s="98">
        <v>962.72500000000002</v>
      </c>
      <c r="J285" s="98">
        <v>1022.275</v>
      </c>
      <c r="K285" s="99"/>
      <c r="L285" s="95" t="s">
        <v>45</v>
      </c>
      <c r="M285" s="95" t="s">
        <v>45</v>
      </c>
      <c r="N285" s="95" t="s">
        <v>45</v>
      </c>
      <c r="O285" s="95" t="s">
        <v>45</v>
      </c>
      <c r="P285" s="95" t="s">
        <v>45</v>
      </c>
      <c r="T285">
        <f>IF($E285="","",COUNTIF($E$2:$E285,$E285))</f>
        <v>106</v>
      </c>
      <c r="U285" t="str">
        <f t="shared" si="4"/>
        <v>CERVICALES|106</v>
      </c>
    </row>
    <row r="286" spans="1:21" x14ac:dyDescent="0.25">
      <c r="A286" s="95" t="s">
        <v>378</v>
      </c>
      <c r="B286" s="96">
        <v>46182</v>
      </c>
      <c r="C286" s="95" t="s">
        <v>58</v>
      </c>
      <c r="D286" s="95" t="s">
        <v>40</v>
      </c>
      <c r="E286" s="95" t="s">
        <v>7</v>
      </c>
      <c r="F286" s="97">
        <v>0.375</v>
      </c>
      <c r="G286" s="98">
        <v>990</v>
      </c>
      <c r="H286" s="98">
        <v>1010</v>
      </c>
      <c r="I286" s="98">
        <v>979.69999999999993</v>
      </c>
      <c r="J286" s="98">
        <v>1040.3</v>
      </c>
      <c r="K286" s="99"/>
      <c r="L286" s="95" t="s">
        <v>45</v>
      </c>
      <c r="M286" s="95" t="s">
        <v>45</v>
      </c>
      <c r="N286" s="95" t="s">
        <v>45</v>
      </c>
      <c r="O286" s="95" t="s">
        <v>45</v>
      </c>
      <c r="P286" s="95" t="s">
        <v>45</v>
      </c>
      <c r="T286">
        <f>IF($E286="","",COUNTIF($E$2:$E286,$E286))</f>
        <v>127</v>
      </c>
      <c r="U286" t="str">
        <f t="shared" si="4"/>
        <v>CLÁSICAS|127</v>
      </c>
    </row>
    <row r="287" spans="1:21" x14ac:dyDescent="0.25">
      <c r="A287" s="95" t="s">
        <v>379</v>
      </c>
      <c r="B287" s="96">
        <v>46182</v>
      </c>
      <c r="C287" s="95" t="s">
        <v>58</v>
      </c>
      <c r="D287" s="95" t="s">
        <v>40</v>
      </c>
      <c r="E287" s="95" t="s">
        <v>7</v>
      </c>
      <c r="F287" s="97">
        <v>0.41666666666666669</v>
      </c>
      <c r="G287" s="98">
        <v>990</v>
      </c>
      <c r="H287" s="98">
        <v>1010</v>
      </c>
      <c r="I287" s="98">
        <v>979.69999999999993</v>
      </c>
      <c r="J287" s="98">
        <v>1040.3</v>
      </c>
      <c r="K287" s="99"/>
      <c r="L287" s="95" t="s">
        <v>45</v>
      </c>
      <c r="M287" s="95" t="s">
        <v>45</v>
      </c>
      <c r="N287" s="95" t="s">
        <v>45</v>
      </c>
      <c r="O287" s="95" t="s">
        <v>45</v>
      </c>
      <c r="P287" s="95" t="s">
        <v>45</v>
      </c>
      <c r="T287">
        <f>IF($E287="","",COUNTIF($E$2:$E287,$E287))</f>
        <v>128</v>
      </c>
      <c r="U287" t="str">
        <f t="shared" si="4"/>
        <v>CLÁSICAS|128</v>
      </c>
    </row>
    <row r="288" spans="1:21" x14ac:dyDescent="0.25">
      <c r="A288" s="95" t="s">
        <v>380</v>
      </c>
      <c r="B288" s="96">
        <v>46182</v>
      </c>
      <c r="C288" s="95" t="s">
        <v>58</v>
      </c>
      <c r="D288" s="95" t="s">
        <v>40</v>
      </c>
      <c r="E288" s="95" t="s">
        <v>60</v>
      </c>
      <c r="F288" s="97">
        <v>0.41666666666666669</v>
      </c>
      <c r="G288" s="98">
        <v>980</v>
      </c>
      <c r="H288" s="98">
        <v>992.5</v>
      </c>
      <c r="I288" s="98">
        <v>962.72500000000002</v>
      </c>
      <c r="J288" s="98">
        <v>1022.275</v>
      </c>
      <c r="K288" s="99"/>
      <c r="L288" s="95" t="s">
        <v>45</v>
      </c>
      <c r="M288" s="95" t="s">
        <v>45</v>
      </c>
      <c r="N288" s="95" t="s">
        <v>45</v>
      </c>
      <c r="O288" s="95" t="s">
        <v>45</v>
      </c>
      <c r="P288" s="95" t="s">
        <v>45</v>
      </c>
      <c r="T288">
        <f>IF($E288="","",COUNTIF($E$2:$E288,$E288))</f>
        <v>107</v>
      </c>
      <c r="U288" t="str">
        <f t="shared" si="4"/>
        <v>CERVICALES|107</v>
      </c>
    </row>
    <row r="289" spans="1:21" x14ac:dyDescent="0.25">
      <c r="A289" s="95" t="s">
        <v>381</v>
      </c>
      <c r="B289" s="96">
        <v>46182</v>
      </c>
      <c r="C289" s="95" t="s">
        <v>58</v>
      </c>
      <c r="D289" s="95" t="s">
        <v>40</v>
      </c>
      <c r="E289" s="95" t="s">
        <v>60</v>
      </c>
      <c r="F289" s="97">
        <v>0.45833333333333331</v>
      </c>
      <c r="G289" s="98">
        <v>980</v>
      </c>
      <c r="H289" s="98">
        <v>992.5</v>
      </c>
      <c r="I289" s="98">
        <v>962.72500000000002</v>
      </c>
      <c r="J289" s="98">
        <v>1022.275</v>
      </c>
      <c r="K289" s="99"/>
      <c r="L289" s="95" t="s">
        <v>45</v>
      </c>
      <c r="M289" s="95" t="s">
        <v>45</v>
      </c>
      <c r="N289" s="95" t="s">
        <v>45</v>
      </c>
      <c r="O289" s="95" t="s">
        <v>45</v>
      </c>
      <c r="P289" s="95" t="s">
        <v>45</v>
      </c>
      <c r="T289">
        <f>IF($E289="","",COUNTIF($E$2:$E289,$E289))</f>
        <v>108</v>
      </c>
      <c r="U289" t="str">
        <f t="shared" si="4"/>
        <v>CERVICALES|108</v>
      </c>
    </row>
    <row r="290" spans="1:21" x14ac:dyDescent="0.25">
      <c r="A290" s="95" t="s">
        <v>382</v>
      </c>
      <c r="B290" s="96">
        <v>46182</v>
      </c>
      <c r="C290" s="95" t="s">
        <v>58</v>
      </c>
      <c r="D290" s="95" t="s">
        <v>40</v>
      </c>
      <c r="E290" s="95" t="s">
        <v>7</v>
      </c>
      <c r="F290" s="97">
        <v>0.45833333333333331</v>
      </c>
      <c r="G290" s="98">
        <v>995</v>
      </c>
      <c r="H290" s="98">
        <v>1010</v>
      </c>
      <c r="I290" s="98">
        <v>979.69999999999993</v>
      </c>
      <c r="J290" s="98">
        <v>1040.3</v>
      </c>
      <c r="K290" s="99"/>
      <c r="L290" s="95" t="s">
        <v>45</v>
      </c>
      <c r="M290" s="95" t="s">
        <v>45</v>
      </c>
      <c r="N290" s="95" t="s">
        <v>45</v>
      </c>
      <c r="O290" s="95" t="s">
        <v>45</v>
      </c>
      <c r="P290" s="95" t="s">
        <v>45</v>
      </c>
      <c r="T290">
        <f>IF($E290="","",COUNTIF($E$2:$E290,$E290))</f>
        <v>129</v>
      </c>
      <c r="U290" t="str">
        <f t="shared" si="4"/>
        <v>CLÁSICAS|129</v>
      </c>
    </row>
    <row r="291" spans="1:21" x14ac:dyDescent="0.25">
      <c r="A291" s="95" t="s">
        <v>383</v>
      </c>
      <c r="B291" s="96">
        <v>46182</v>
      </c>
      <c r="C291" s="95" t="s">
        <v>58</v>
      </c>
      <c r="D291" s="95" t="s">
        <v>40</v>
      </c>
      <c r="E291" s="95" t="s">
        <v>7</v>
      </c>
      <c r="F291" s="97">
        <v>0.5</v>
      </c>
      <c r="G291" s="98">
        <v>995</v>
      </c>
      <c r="H291" s="98">
        <v>1010</v>
      </c>
      <c r="I291" s="98">
        <v>979.69999999999993</v>
      </c>
      <c r="J291" s="98">
        <v>1040.3</v>
      </c>
      <c r="K291" s="99"/>
      <c r="L291" s="95" t="s">
        <v>45</v>
      </c>
      <c r="M291" s="95" t="s">
        <v>45</v>
      </c>
      <c r="N291" s="95" t="s">
        <v>45</v>
      </c>
      <c r="O291" s="95" t="s">
        <v>45</v>
      </c>
      <c r="P291" s="95" t="s">
        <v>45</v>
      </c>
      <c r="T291">
        <f>IF($E291="","",COUNTIF($E$2:$E291,$E291))</f>
        <v>130</v>
      </c>
      <c r="U291" t="str">
        <f t="shared" si="4"/>
        <v>CLÁSICAS|130</v>
      </c>
    </row>
    <row r="292" spans="1:21" x14ac:dyDescent="0.25">
      <c r="A292" s="95" t="s">
        <v>384</v>
      </c>
      <c r="B292" s="96">
        <v>46182</v>
      </c>
      <c r="C292" s="95" t="s">
        <v>58</v>
      </c>
      <c r="D292" s="95" t="s">
        <v>40</v>
      </c>
      <c r="E292" s="95" t="s">
        <v>60</v>
      </c>
      <c r="F292" s="97">
        <v>0.5</v>
      </c>
      <c r="G292" s="98">
        <v>975</v>
      </c>
      <c r="H292" s="98">
        <v>992.5</v>
      </c>
      <c r="I292" s="98">
        <v>962.72500000000002</v>
      </c>
      <c r="J292" s="98">
        <v>1022.275</v>
      </c>
      <c r="K292" s="99"/>
      <c r="L292" s="95" t="s">
        <v>45</v>
      </c>
      <c r="M292" s="95" t="s">
        <v>45</v>
      </c>
      <c r="N292" s="95" t="s">
        <v>45</v>
      </c>
      <c r="O292" s="95" t="s">
        <v>45</v>
      </c>
      <c r="P292" s="95" t="s">
        <v>45</v>
      </c>
      <c r="T292">
        <f>IF($E292="","",COUNTIF($E$2:$E292,$E292))</f>
        <v>109</v>
      </c>
      <c r="U292" t="str">
        <f t="shared" si="4"/>
        <v>CERVICALES|109</v>
      </c>
    </row>
    <row r="293" spans="1:21" x14ac:dyDescent="0.25">
      <c r="A293" s="95" t="s">
        <v>385</v>
      </c>
      <c r="B293" s="96">
        <v>46182</v>
      </c>
      <c r="C293" s="95" t="s">
        <v>58</v>
      </c>
      <c r="D293" s="95" t="s">
        <v>40</v>
      </c>
      <c r="E293" s="95" t="s">
        <v>60</v>
      </c>
      <c r="F293" s="97">
        <v>0.54166666666666663</v>
      </c>
      <c r="G293" s="98">
        <v>975</v>
      </c>
      <c r="H293" s="98">
        <v>992.5</v>
      </c>
      <c r="I293" s="98">
        <v>962.72500000000002</v>
      </c>
      <c r="J293" s="98">
        <v>1022.275</v>
      </c>
      <c r="K293" s="99"/>
      <c r="L293" s="95" t="s">
        <v>45</v>
      </c>
      <c r="M293" s="95" t="s">
        <v>45</v>
      </c>
      <c r="N293" s="95" t="s">
        <v>45</v>
      </c>
      <c r="O293" s="95" t="s">
        <v>45</v>
      </c>
      <c r="P293" s="95" t="s">
        <v>45</v>
      </c>
      <c r="T293">
        <f>IF($E293="","",COUNTIF($E$2:$E293,$E293))</f>
        <v>110</v>
      </c>
      <c r="U293" t="str">
        <f t="shared" si="4"/>
        <v>CERVICALES|110</v>
      </c>
    </row>
    <row r="294" spans="1:21" x14ac:dyDescent="0.25">
      <c r="A294" s="95" t="s">
        <v>386</v>
      </c>
      <c r="B294" s="96">
        <v>46182</v>
      </c>
      <c r="C294" s="95" t="s">
        <v>58</v>
      </c>
      <c r="D294" s="95" t="s">
        <v>40</v>
      </c>
      <c r="E294" s="95" t="s">
        <v>7</v>
      </c>
      <c r="F294" s="97">
        <v>0.54166666666666663</v>
      </c>
      <c r="G294" s="98">
        <v>990</v>
      </c>
      <c r="H294" s="98">
        <v>1010</v>
      </c>
      <c r="I294" s="98">
        <v>979.69999999999993</v>
      </c>
      <c r="J294" s="98">
        <v>1040.3</v>
      </c>
      <c r="K294" s="99"/>
      <c r="L294" s="95" t="s">
        <v>45</v>
      </c>
      <c r="M294" s="95" t="s">
        <v>45</v>
      </c>
      <c r="N294" s="95" t="s">
        <v>45</v>
      </c>
      <c r="O294" s="95" t="s">
        <v>45</v>
      </c>
      <c r="P294" s="95" t="s">
        <v>45</v>
      </c>
      <c r="T294">
        <f>IF($E294="","",COUNTIF($E$2:$E294,$E294))</f>
        <v>131</v>
      </c>
      <c r="U294" t="str">
        <f t="shared" si="4"/>
        <v>CLÁSICAS|131</v>
      </c>
    </row>
    <row r="295" spans="1:21" x14ac:dyDescent="0.25">
      <c r="A295" s="95" t="s">
        <v>387</v>
      </c>
      <c r="B295" s="96">
        <v>46184</v>
      </c>
      <c r="C295" s="95" t="s">
        <v>58</v>
      </c>
      <c r="D295" s="95" t="s">
        <v>40</v>
      </c>
      <c r="E295" s="95" t="s">
        <v>7</v>
      </c>
      <c r="F295" s="97">
        <v>0.25</v>
      </c>
      <c r="G295" s="98">
        <v>990</v>
      </c>
      <c r="H295" s="98">
        <v>1010</v>
      </c>
      <c r="I295" s="98">
        <v>979.69999999999993</v>
      </c>
      <c r="J295" s="98">
        <v>1040.3</v>
      </c>
      <c r="K295" s="99"/>
      <c r="L295" s="95" t="s">
        <v>45</v>
      </c>
      <c r="M295" s="95" t="s">
        <v>45</v>
      </c>
      <c r="N295" s="95" t="s">
        <v>45</v>
      </c>
      <c r="O295" s="95" t="s">
        <v>45</v>
      </c>
      <c r="P295" s="95" t="s">
        <v>45</v>
      </c>
      <c r="T295">
        <f>IF($E295="","",COUNTIF($E$2:$E295,$E295))</f>
        <v>132</v>
      </c>
      <c r="U295" t="str">
        <f t="shared" si="4"/>
        <v>CLÁSICAS|132</v>
      </c>
    </row>
    <row r="296" spans="1:21" x14ac:dyDescent="0.25">
      <c r="A296" s="95" t="s">
        <v>388</v>
      </c>
      <c r="B296" s="96">
        <v>46184</v>
      </c>
      <c r="C296" s="95" t="s">
        <v>58</v>
      </c>
      <c r="D296" s="95" t="s">
        <v>40</v>
      </c>
      <c r="E296" s="95" t="s">
        <v>60</v>
      </c>
      <c r="F296" s="97">
        <v>0.25</v>
      </c>
      <c r="G296" s="98">
        <v>975</v>
      </c>
      <c r="H296" s="98">
        <v>992.5</v>
      </c>
      <c r="I296" s="98">
        <v>962.72500000000002</v>
      </c>
      <c r="J296" s="98">
        <v>1022.275</v>
      </c>
      <c r="K296" s="99"/>
      <c r="L296" s="95" t="s">
        <v>45</v>
      </c>
      <c r="M296" s="95" t="s">
        <v>45</v>
      </c>
      <c r="N296" s="95" t="s">
        <v>45</v>
      </c>
      <c r="O296" s="95" t="s">
        <v>45</v>
      </c>
      <c r="P296" s="95" t="s">
        <v>45</v>
      </c>
      <c r="T296">
        <f>IF($E296="","",COUNTIF($E$2:$E296,$E296))</f>
        <v>111</v>
      </c>
      <c r="U296" t="str">
        <f t="shared" si="4"/>
        <v>CERVICALES|111</v>
      </c>
    </row>
    <row r="297" spans="1:21" x14ac:dyDescent="0.25">
      <c r="A297" s="95" t="s">
        <v>389</v>
      </c>
      <c r="B297" s="96">
        <v>46184</v>
      </c>
      <c r="C297" s="95" t="s">
        <v>58</v>
      </c>
      <c r="D297" s="95" t="s">
        <v>40</v>
      </c>
      <c r="E297" s="95" t="s">
        <v>60</v>
      </c>
      <c r="F297" s="97">
        <v>0.29166666666666669</v>
      </c>
      <c r="G297" s="98">
        <v>975</v>
      </c>
      <c r="H297" s="98">
        <v>992.5</v>
      </c>
      <c r="I297" s="98">
        <v>962.72500000000002</v>
      </c>
      <c r="J297" s="98">
        <v>1022.275</v>
      </c>
      <c r="K297" s="99"/>
      <c r="L297" s="95" t="s">
        <v>45</v>
      </c>
      <c r="M297" s="95" t="s">
        <v>45</v>
      </c>
      <c r="N297" s="95" t="s">
        <v>45</v>
      </c>
      <c r="O297" s="95" t="s">
        <v>45</v>
      </c>
      <c r="P297" s="95" t="s">
        <v>45</v>
      </c>
      <c r="T297">
        <f>IF($E297="","",COUNTIF($E$2:$E297,$E297))</f>
        <v>112</v>
      </c>
      <c r="U297" t="str">
        <f t="shared" si="4"/>
        <v>CERVICALES|112</v>
      </c>
    </row>
    <row r="298" spans="1:21" x14ac:dyDescent="0.25">
      <c r="A298" s="95" t="s">
        <v>390</v>
      </c>
      <c r="B298" s="96">
        <v>46184</v>
      </c>
      <c r="C298" s="95" t="s">
        <v>58</v>
      </c>
      <c r="D298" s="95" t="s">
        <v>40</v>
      </c>
      <c r="E298" s="95" t="s">
        <v>7</v>
      </c>
      <c r="F298" s="97">
        <v>0.29166666666666669</v>
      </c>
      <c r="G298" s="98">
        <v>990</v>
      </c>
      <c r="H298" s="98">
        <v>1010</v>
      </c>
      <c r="I298" s="98">
        <v>979.69999999999993</v>
      </c>
      <c r="J298" s="98">
        <v>1040.3</v>
      </c>
      <c r="K298" s="99"/>
      <c r="L298" s="95" t="s">
        <v>45</v>
      </c>
      <c r="M298" s="95" t="s">
        <v>45</v>
      </c>
      <c r="N298" s="95" t="s">
        <v>45</v>
      </c>
      <c r="O298" s="95" t="s">
        <v>45</v>
      </c>
      <c r="P298" s="95" t="s">
        <v>45</v>
      </c>
      <c r="T298">
        <f>IF($E298="","",COUNTIF($E$2:$E298,$E298))</f>
        <v>133</v>
      </c>
      <c r="U298" t="str">
        <f t="shared" si="4"/>
        <v>CLÁSICAS|133</v>
      </c>
    </row>
    <row r="299" spans="1:21" x14ac:dyDescent="0.25">
      <c r="A299" s="95" t="s">
        <v>391</v>
      </c>
      <c r="B299" s="96">
        <v>46184</v>
      </c>
      <c r="C299" s="95" t="s">
        <v>58</v>
      </c>
      <c r="D299" s="95" t="s">
        <v>40</v>
      </c>
      <c r="E299" s="95" t="s">
        <v>7</v>
      </c>
      <c r="F299" s="97">
        <v>0.33333333333333331</v>
      </c>
      <c r="G299" s="98">
        <v>990</v>
      </c>
      <c r="H299" s="98">
        <v>1010</v>
      </c>
      <c r="I299" s="98">
        <v>979.69999999999993</v>
      </c>
      <c r="J299" s="98">
        <v>1040.3</v>
      </c>
      <c r="K299" s="99"/>
      <c r="L299" s="95" t="s">
        <v>45</v>
      </c>
      <c r="M299" s="95" t="s">
        <v>45</v>
      </c>
      <c r="N299" s="95" t="s">
        <v>45</v>
      </c>
      <c r="O299" s="95" t="s">
        <v>45</v>
      </c>
      <c r="P299" s="95" t="s">
        <v>45</v>
      </c>
      <c r="T299">
        <f>IF($E299="","",COUNTIF($E$2:$E299,$E299))</f>
        <v>134</v>
      </c>
      <c r="U299" t="str">
        <f t="shared" si="4"/>
        <v>CLÁSICAS|134</v>
      </c>
    </row>
    <row r="300" spans="1:21" x14ac:dyDescent="0.25">
      <c r="A300" s="95" t="s">
        <v>392</v>
      </c>
      <c r="B300" s="96">
        <v>46184</v>
      </c>
      <c r="C300" s="95" t="s">
        <v>58</v>
      </c>
      <c r="D300" s="95" t="s">
        <v>40</v>
      </c>
      <c r="E300" s="95" t="s">
        <v>60</v>
      </c>
      <c r="F300" s="97">
        <v>0.33333333333333331</v>
      </c>
      <c r="G300" s="98">
        <v>975</v>
      </c>
      <c r="H300" s="98">
        <v>992.5</v>
      </c>
      <c r="I300" s="98">
        <v>962.72500000000002</v>
      </c>
      <c r="J300" s="98">
        <v>1022.275</v>
      </c>
      <c r="K300" s="99"/>
      <c r="L300" s="95" t="s">
        <v>45</v>
      </c>
      <c r="M300" s="95" t="s">
        <v>45</v>
      </c>
      <c r="N300" s="95" t="s">
        <v>45</v>
      </c>
      <c r="O300" s="95" t="s">
        <v>45</v>
      </c>
      <c r="P300" s="95" t="s">
        <v>45</v>
      </c>
      <c r="T300">
        <f>IF($E300="","",COUNTIF($E$2:$E300,$E300))</f>
        <v>113</v>
      </c>
      <c r="U300" t="str">
        <f t="shared" si="4"/>
        <v>CERVICALES|113</v>
      </c>
    </row>
    <row r="301" spans="1:21" x14ac:dyDescent="0.25">
      <c r="A301" s="95" t="s">
        <v>393</v>
      </c>
      <c r="B301" s="96">
        <v>46184</v>
      </c>
      <c r="C301" s="95" t="s">
        <v>58</v>
      </c>
      <c r="D301" s="95" t="s">
        <v>40</v>
      </c>
      <c r="E301" s="95" t="s">
        <v>60</v>
      </c>
      <c r="F301" s="97">
        <v>0.375</v>
      </c>
      <c r="G301" s="98">
        <v>995</v>
      </c>
      <c r="H301" s="98">
        <v>992.5</v>
      </c>
      <c r="I301" s="98">
        <v>962.72500000000002</v>
      </c>
      <c r="J301" s="98">
        <v>1022.275</v>
      </c>
      <c r="K301" s="99"/>
      <c r="L301" s="95" t="s">
        <v>45</v>
      </c>
      <c r="M301" s="95" t="s">
        <v>45</v>
      </c>
      <c r="N301" s="95" t="s">
        <v>45</v>
      </c>
      <c r="O301" s="95" t="s">
        <v>45</v>
      </c>
      <c r="P301" s="95" t="s">
        <v>45</v>
      </c>
      <c r="T301">
        <f>IF($E301="","",COUNTIF($E$2:$E301,$E301))</f>
        <v>114</v>
      </c>
      <c r="U301" t="str">
        <f t="shared" si="4"/>
        <v>CERVICALES|114</v>
      </c>
    </row>
    <row r="302" spans="1:21" x14ac:dyDescent="0.25">
      <c r="A302" s="95" t="s">
        <v>394</v>
      </c>
      <c r="B302" s="96">
        <v>46184</v>
      </c>
      <c r="C302" s="95" t="s">
        <v>58</v>
      </c>
      <c r="D302" s="95" t="s">
        <v>40</v>
      </c>
      <c r="E302" s="95" t="s">
        <v>7</v>
      </c>
      <c r="F302" s="97">
        <v>0.375</v>
      </c>
      <c r="G302" s="98">
        <v>995</v>
      </c>
      <c r="H302" s="98">
        <v>1010</v>
      </c>
      <c r="I302" s="98">
        <v>979.69999999999993</v>
      </c>
      <c r="J302" s="98">
        <v>1040.3</v>
      </c>
      <c r="K302" s="99"/>
      <c r="L302" s="95" t="s">
        <v>45</v>
      </c>
      <c r="M302" s="95" t="s">
        <v>45</v>
      </c>
      <c r="N302" s="95" t="s">
        <v>45</v>
      </c>
      <c r="O302" s="95" t="s">
        <v>45</v>
      </c>
      <c r="P302" s="95" t="s">
        <v>45</v>
      </c>
      <c r="T302">
        <f>IF($E302="","",COUNTIF($E$2:$E302,$E302))</f>
        <v>135</v>
      </c>
      <c r="U302" t="str">
        <f t="shared" si="4"/>
        <v>CLÁSICAS|135</v>
      </c>
    </row>
    <row r="303" spans="1:21" x14ac:dyDescent="0.25">
      <c r="A303" s="95" t="s">
        <v>395</v>
      </c>
      <c r="B303" s="96">
        <v>46184</v>
      </c>
      <c r="C303" s="95" t="s">
        <v>104</v>
      </c>
      <c r="D303" s="95" t="s">
        <v>40</v>
      </c>
      <c r="E303" s="95" t="s">
        <v>7</v>
      </c>
      <c r="F303" s="97">
        <v>0.41666666666666669</v>
      </c>
      <c r="G303" s="98">
        <v>995</v>
      </c>
      <c r="H303" s="98">
        <v>1010</v>
      </c>
      <c r="I303" s="98">
        <v>979.69999999999993</v>
      </c>
      <c r="J303" s="98">
        <v>1040.3</v>
      </c>
      <c r="K303" s="99"/>
      <c r="L303" s="95" t="s">
        <v>45</v>
      </c>
      <c r="M303" s="95" t="s">
        <v>45</v>
      </c>
      <c r="N303" s="95" t="s">
        <v>45</v>
      </c>
      <c r="O303" s="95" t="s">
        <v>45</v>
      </c>
      <c r="P303" s="95" t="s">
        <v>45</v>
      </c>
      <c r="T303">
        <f>IF($E303="","",COUNTIF($E$2:$E303,$E303))</f>
        <v>136</v>
      </c>
      <c r="U303" t="str">
        <f t="shared" si="4"/>
        <v>CLÁSICAS|136</v>
      </c>
    </row>
    <row r="304" spans="1:21" x14ac:dyDescent="0.25">
      <c r="A304" s="95" t="s">
        <v>396</v>
      </c>
      <c r="B304" s="96">
        <v>46184</v>
      </c>
      <c r="C304" s="95" t="s">
        <v>104</v>
      </c>
      <c r="D304" s="95" t="s">
        <v>40</v>
      </c>
      <c r="E304" s="95" t="s">
        <v>60</v>
      </c>
      <c r="F304" s="97">
        <v>0.41666666666666669</v>
      </c>
      <c r="G304" s="98">
        <v>980</v>
      </c>
      <c r="H304" s="98">
        <v>992.5</v>
      </c>
      <c r="I304" s="98">
        <v>962.72500000000002</v>
      </c>
      <c r="J304" s="98">
        <v>1022.275</v>
      </c>
      <c r="K304" s="99"/>
      <c r="L304" s="95" t="s">
        <v>45</v>
      </c>
      <c r="M304" s="95" t="s">
        <v>45</v>
      </c>
      <c r="N304" s="95" t="s">
        <v>45</v>
      </c>
      <c r="O304" s="95" t="s">
        <v>45</v>
      </c>
      <c r="P304" s="95" t="s">
        <v>45</v>
      </c>
      <c r="T304">
        <f>IF($E304="","",COUNTIF($E$2:$E304,$E304))</f>
        <v>115</v>
      </c>
      <c r="U304" t="str">
        <f t="shared" si="4"/>
        <v>CERVICALES|115</v>
      </c>
    </row>
    <row r="305" spans="1:21" x14ac:dyDescent="0.25">
      <c r="A305" s="95" t="s">
        <v>397</v>
      </c>
      <c r="B305" s="96">
        <v>46184</v>
      </c>
      <c r="C305" s="95" t="s">
        <v>104</v>
      </c>
      <c r="D305" s="95" t="s">
        <v>40</v>
      </c>
      <c r="E305" s="95" t="s">
        <v>7</v>
      </c>
      <c r="F305" s="97">
        <v>0.45833333333333331</v>
      </c>
      <c r="G305" s="98">
        <v>980</v>
      </c>
      <c r="H305" s="98">
        <v>1010</v>
      </c>
      <c r="I305" s="98">
        <v>979.69999999999993</v>
      </c>
      <c r="J305" s="98">
        <v>1040.3</v>
      </c>
      <c r="K305" s="99"/>
      <c r="L305" s="95" t="s">
        <v>45</v>
      </c>
      <c r="M305" s="95" t="s">
        <v>45</v>
      </c>
      <c r="N305" s="95" t="s">
        <v>45</v>
      </c>
      <c r="O305" s="95" t="s">
        <v>45</v>
      </c>
      <c r="P305" s="95" t="s">
        <v>45</v>
      </c>
      <c r="T305">
        <f>IF($E305="","",COUNTIF($E$2:$E305,$E305))</f>
        <v>137</v>
      </c>
      <c r="U305" t="str">
        <f t="shared" si="4"/>
        <v>CLÁSICAS|137</v>
      </c>
    </row>
    <row r="306" spans="1:21" x14ac:dyDescent="0.25">
      <c r="A306" s="95" t="s">
        <v>398</v>
      </c>
      <c r="B306" s="96">
        <v>46184</v>
      </c>
      <c r="C306" s="95" t="s">
        <v>104</v>
      </c>
      <c r="D306" s="95" t="s">
        <v>40</v>
      </c>
      <c r="E306" s="95" t="s">
        <v>60</v>
      </c>
      <c r="F306" s="97">
        <v>0.45833333333333331</v>
      </c>
      <c r="G306" s="98">
        <v>980</v>
      </c>
      <c r="H306" s="98">
        <v>992.5</v>
      </c>
      <c r="I306" s="98">
        <v>962.72500000000002</v>
      </c>
      <c r="J306" s="98">
        <v>1022.275</v>
      </c>
      <c r="K306" s="99"/>
      <c r="L306" s="95" t="s">
        <v>45</v>
      </c>
      <c r="M306" s="95" t="s">
        <v>45</v>
      </c>
      <c r="N306" s="95" t="s">
        <v>45</v>
      </c>
      <c r="O306" s="95" t="s">
        <v>45</v>
      </c>
      <c r="P306" s="95" t="s">
        <v>45</v>
      </c>
      <c r="T306">
        <f>IF($E306="","",COUNTIF($E$2:$E306,$E306))</f>
        <v>116</v>
      </c>
      <c r="U306" t="str">
        <f t="shared" si="4"/>
        <v>CERVICALES|116</v>
      </c>
    </row>
    <row r="307" spans="1:21" x14ac:dyDescent="0.25">
      <c r="A307" s="95" t="s">
        <v>399</v>
      </c>
      <c r="B307" s="96">
        <v>46184</v>
      </c>
      <c r="C307" s="95" t="s">
        <v>104</v>
      </c>
      <c r="D307" s="95" t="s">
        <v>40</v>
      </c>
      <c r="E307" s="95" t="s">
        <v>7</v>
      </c>
      <c r="F307" s="97">
        <v>0.5</v>
      </c>
      <c r="G307" s="98">
        <v>980</v>
      </c>
      <c r="H307" s="98">
        <v>1010</v>
      </c>
      <c r="I307" s="98">
        <v>979.69999999999993</v>
      </c>
      <c r="J307" s="98">
        <v>1040.3</v>
      </c>
      <c r="K307" s="99"/>
      <c r="L307" s="95" t="s">
        <v>45</v>
      </c>
      <c r="M307" s="95" t="s">
        <v>45</v>
      </c>
      <c r="N307" s="95" t="s">
        <v>45</v>
      </c>
      <c r="O307" s="95" t="s">
        <v>45</v>
      </c>
      <c r="P307" s="95" t="s">
        <v>45</v>
      </c>
      <c r="T307">
        <f>IF($E307="","",COUNTIF($E$2:$E307,$E307))</f>
        <v>138</v>
      </c>
      <c r="U307" t="str">
        <f t="shared" si="4"/>
        <v>CLÁSICAS|138</v>
      </c>
    </row>
    <row r="308" spans="1:21" x14ac:dyDescent="0.25">
      <c r="A308" s="95" t="s">
        <v>400</v>
      </c>
      <c r="B308" s="96">
        <v>46184</v>
      </c>
      <c r="C308" s="95" t="s">
        <v>104</v>
      </c>
      <c r="D308" s="95" t="s">
        <v>40</v>
      </c>
      <c r="E308" s="95" t="s">
        <v>60</v>
      </c>
      <c r="F308" s="97">
        <v>0.5</v>
      </c>
      <c r="G308" s="98">
        <v>980</v>
      </c>
      <c r="H308" s="98">
        <v>992.5</v>
      </c>
      <c r="I308" s="98">
        <v>962.72500000000002</v>
      </c>
      <c r="J308" s="98">
        <v>1022.275</v>
      </c>
      <c r="K308" s="99"/>
      <c r="L308" s="95" t="s">
        <v>45</v>
      </c>
      <c r="M308" s="95" t="s">
        <v>45</v>
      </c>
      <c r="N308" s="95" t="s">
        <v>45</v>
      </c>
      <c r="O308" s="95" t="s">
        <v>45</v>
      </c>
      <c r="P308" s="95" t="s">
        <v>45</v>
      </c>
      <c r="T308">
        <f>IF($E308="","",COUNTIF($E$2:$E308,$E308))</f>
        <v>117</v>
      </c>
      <c r="U308" t="str">
        <f t="shared" si="4"/>
        <v>CERVICALES|117</v>
      </c>
    </row>
    <row r="309" spans="1:21" x14ac:dyDescent="0.25">
      <c r="A309" s="95" t="s">
        <v>401</v>
      </c>
      <c r="B309" s="96">
        <v>46185</v>
      </c>
      <c r="C309" s="95" t="s">
        <v>58</v>
      </c>
      <c r="D309" s="95" t="s">
        <v>40</v>
      </c>
      <c r="E309" s="95" t="s">
        <v>7</v>
      </c>
      <c r="F309" s="97">
        <v>0.25</v>
      </c>
      <c r="G309" s="98">
        <v>980</v>
      </c>
      <c r="H309" s="98">
        <v>1010</v>
      </c>
      <c r="I309" s="98">
        <v>979.69999999999993</v>
      </c>
      <c r="J309" s="98">
        <v>1040.3</v>
      </c>
      <c r="K309" s="99"/>
      <c r="L309" s="95" t="s">
        <v>45</v>
      </c>
      <c r="M309" s="95" t="s">
        <v>45</v>
      </c>
      <c r="N309" s="95" t="s">
        <v>45</v>
      </c>
      <c r="O309" s="95" t="s">
        <v>45</v>
      </c>
      <c r="P309" s="95" t="s">
        <v>45</v>
      </c>
      <c r="T309">
        <f>IF($E309="","",COUNTIF($E$2:$E309,$E309))</f>
        <v>139</v>
      </c>
      <c r="U309" t="str">
        <f t="shared" si="4"/>
        <v>CLÁSICAS|139</v>
      </c>
    </row>
    <row r="310" spans="1:21" x14ac:dyDescent="0.25">
      <c r="A310" s="95" t="s">
        <v>402</v>
      </c>
      <c r="B310" s="96">
        <v>46185</v>
      </c>
      <c r="C310" s="95" t="s">
        <v>58</v>
      </c>
      <c r="D310" s="95" t="s">
        <v>40</v>
      </c>
      <c r="E310" s="95" t="s">
        <v>60</v>
      </c>
      <c r="F310" s="97">
        <v>0.25</v>
      </c>
      <c r="G310" s="98">
        <v>975</v>
      </c>
      <c r="H310" s="98">
        <v>992.5</v>
      </c>
      <c r="I310" s="98">
        <v>962.72500000000002</v>
      </c>
      <c r="J310" s="98">
        <v>1022.275</v>
      </c>
      <c r="K310" s="99"/>
      <c r="L310" s="95" t="s">
        <v>45</v>
      </c>
      <c r="M310" s="95" t="s">
        <v>45</v>
      </c>
      <c r="N310" s="95" t="s">
        <v>45</v>
      </c>
      <c r="O310" s="95" t="s">
        <v>45</v>
      </c>
      <c r="P310" s="95" t="s">
        <v>45</v>
      </c>
      <c r="T310">
        <f>IF($E310="","",COUNTIF($E$2:$E310,$E310))</f>
        <v>118</v>
      </c>
      <c r="U310" t="str">
        <f t="shared" si="4"/>
        <v>CERVICALES|118</v>
      </c>
    </row>
    <row r="311" spans="1:21" x14ac:dyDescent="0.25">
      <c r="A311" s="95" t="s">
        <v>403</v>
      </c>
      <c r="B311" s="96">
        <v>46185</v>
      </c>
      <c r="C311" s="95" t="s">
        <v>58</v>
      </c>
      <c r="D311" s="95" t="s">
        <v>40</v>
      </c>
      <c r="E311" s="95" t="s">
        <v>60</v>
      </c>
      <c r="F311" s="97">
        <v>0.29166666666666669</v>
      </c>
      <c r="G311" s="98">
        <v>975</v>
      </c>
      <c r="H311" s="98">
        <v>992.5</v>
      </c>
      <c r="I311" s="98">
        <v>962.72500000000002</v>
      </c>
      <c r="J311" s="98">
        <v>1022.275</v>
      </c>
      <c r="K311" s="99"/>
      <c r="L311" s="95" t="s">
        <v>45</v>
      </c>
      <c r="M311" s="95" t="s">
        <v>45</v>
      </c>
      <c r="N311" s="95" t="s">
        <v>45</v>
      </c>
      <c r="O311" s="95" t="s">
        <v>45</v>
      </c>
      <c r="P311" s="95" t="s">
        <v>45</v>
      </c>
      <c r="T311">
        <f>IF($E311="","",COUNTIF($E$2:$E311,$E311))</f>
        <v>119</v>
      </c>
      <c r="U311" t="str">
        <f t="shared" si="4"/>
        <v>CERVICALES|119</v>
      </c>
    </row>
    <row r="312" spans="1:21" x14ac:dyDescent="0.25">
      <c r="A312" s="95" t="s">
        <v>404</v>
      </c>
      <c r="B312" s="96">
        <v>46185</v>
      </c>
      <c r="C312" s="95" t="s">
        <v>58</v>
      </c>
      <c r="D312" s="95" t="s">
        <v>40</v>
      </c>
      <c r="E312" s="95" t="s">
        <v>7</v>
      </c>
      <c r="F312" s="97">
        <v>0.29166666666666669</v>
      </c>
      <c r="G312" s="98">
        <v>985</v>
      </c>
      <c r="H312" s="98">
        <v>1010</v>
      </c>
      <c r="I312" s="98">
        <v>979.69999999999993</v>
      </c>
      <c r="J312" s="98">
        <v>1040.3</v>
      </c>
      <c r="K312" s="99"/>
      <c r="L312" s="95" t="s">
        <v>45</v>
      </c>
      <c r="M312" s="95" t="s">
        <v>45</v>
      </c>
      <c r="N312" s="95" t="s">
        <v>45</v>
      </c>
      <c r="O312" s="95" t="s">
        <v>45</v>
      </c>
      <c r="P312" s="95" t="s">
        <v>45</v>
      </c>
      <c r="T312">
        <f>IF($E312="","",COUNTIF($E$2:$E312,$E312))</f>
        <v>140</v>
      </c>
      <c r="U312" t="str">
        <f t="shared" si="4"/>
        <v>CLÁSICAS|140</v>
      </c>
    </row>
    <row r="313" spans="1:21" x14ac:dyDescent="0.25">
      <c r="A313" s="95" t="s">
        <v>405</v>
      </c>
      <c r="B313" s="96">
        <v>46185</v>
      </c>
      <c r="C313" s="95" t="s">
        <v>58</v>
      </c>
      <c r="D313" s="95" t="s">
        <v>40</v>
      </c>
      <c r="E313" s="95" t="s">
        <v>7</v>
      </c>
      <c r="F313" s="97">
        <v>0.33333333333333331</v>
      </c>
      <c r="G313" s="98">
        <v>985</v>
      </c>
      <c r="H313" s="98">
        <v>1010</v>
      </c>
      <c r="I313" s="98">
        <v>979.69999999999993</v>
      </c>
      <c r="J313" s="98">
        <v>1040.3</v>
      </c>
      <c r="K313" s="99"/>
      <c r="L313" s="95" t="s">
        <v>45</v>
      </c>
      <c r="M313" s="95" t="s">
        <v>45</v>
      </c>
      <c r="N313" s="95" t="s">
        <v>45</v>
      </c>
      <c r="O313" s="95" t="s">
        <v>45</v>
      </c>
      <c r="P313" s="95" t="s">
        <v>45</v>
      </c>
      <c r="T313">
        <f>IF($E313="","",COUNTIF($E$2:$E313,$E313))</f>
        <v>141</v>
      </c>
      <c r="U313" t="str">
        <f t="shared" si="4"/>
        <v>CLÁSICAS|141</v>
      </c>
    </row>
    <row r="314" spans="1:21" x14ac:dyDescent="0.25">
      <c r="A314" s="95" t="s">
        <v>406</v>
      </c>
      <c r="B314" s="96">
        <v>46185</v>
      </c>
      <c r="C314" s="95" t="s">
        <v>58</v>
      </c>
      <c r="D314" s="95" t="s">
        <v>40</v>
      </c>
      <c r="E314" s="95" t="s">
        <v>7</v>
      </c>
      <c r="F314" s="97">
        <v>0.375</v>
      </c>
      <c r="G314" s="98">
        <v>985</v>
      </c>
      <c r="H314" s="98">
        <v>1010</v>
      </c>
      <c r="I314" s="98">
        <v>979.69999999999993</v>
      </c>
      <c r="J314" s="98">
        <v>1040.3</v>
      </c>
      <c r="K314" s="99"/>
      <c r="L314" s="95" t="s">
        <v>45</v>
      </c>
      <c r="M314" s="95" t="s">
        <v>45</v>
      </c>
      <c r="N314" s="95" t="s">
        <v>45</v>
      </c>
      <c r="O314" s="95" t="s">
        <v>45</v>
      </c>
      <c r="P314" s="95" t="s">
        <v>45</v>
      </c>
      <c r="T314">
        <f>IF($E314="","",COUNTIF($E$2:$E314,$E314))</f>
        <v>142</v>
      </c>
      <c r="U314" t="str">
        <f t="shared" si="4"/>
        <v>CLÁSICAS|142</v>
      </c>
    </row>
    <row r="315" spans="1:21" x14ac:dyDescent="0.25">
      <c r="A315" s="95" t="s">
        <v>407</v>
      </c>
      <c r="B315" s="96">
        <v>46185</v>
      </c>
      <c r="C315" s="95" t="s">
        <v>58</v>
      </c>
      <c r="D315" s="95" t="s">
        <v>40</v>
      </c>
      <c r="E315" s="95" t="s">
        <v>7</v>
      </c>
      <c r="F315" s="97">
        <v>0.41666666666666669</v>
      </c>
      <c r="G315" s="98">
        <v>985</v>
      </c>
      <c r="H315" s="98">
        <v>1010</v>
      </c>
      <c r="I315" s="98">
        <v>979.69999999999993</v>
      </c>
      <c r="J315" s="98">
        <v>1040.3</v>
      </c>
      <c r="K315" s="99"/>
      <c r="L315" s="95" t="s">
        <v>45</v>
      </c>
      <c r="M315" s="95" t="s">
        <v>45</v>
      </c>
      <c r="N315" s="95" t="s">
        <v>45</v>
      </c>
      <c r="O315" s="95" t="s">
        <v>45</v>
      </c>
      <c r="P315" s="95" t="s">
        <v>45</v>
      </c>
      <c r="T315">
        <f>IF($E315="","",COUNTIF($E$2:$E315,$E315))</f>
        <v>143</v>
      </c>
      <c r="U315" t="str">
        <f t="shared" si="4"/>
        <v>CLÁSICAS|143</v>
      </c>
    </row>
    <row r="316" spans="1:21" x14ac:dyDescent="0.25">
      <c r="A316" s="95" t="s">
        <v>408</v>
      </c>
      <c r="B316" s="96">
        <v>46185</v>
      </c>
      <c r="C316" s="95" t="s">
        <v>58</v>
      </c>
      <c r="D316" s="95" t="s">
        <v>40</v>
      </c>
      <c r="E316" s="95" t="s">
        <v>7</v>
      </c>
      <c r="F316" s="97">
        <v>0.45833333333333331</v>
      </c>
      <c r="G316" s="98">
        <v>985</v>
      </c>
      <c r="H316" s="98">
        <v>1010</v>
      </c>
      <c r="I316" s="98">
        <v>979.69999999999993</v>
      </c>
      <c r="J316" s="98">
        <v>1040.3</v>
      </c>
      <c r="K316" s="99"/>
      <c r="L316" s="95" t="s">
        <v>45</v>
      </c>
      <c r="M316" s="95" t="s">
        <v>45</v>
      </c>
      <c r="N316" s="95" t="s">
        <v>45</v>
      </c>
      <c r="O316" s="95" t="s">
        <v>45</v>
      </c>
      <c r="P316" s="95" t="s">
        <v>45</v>
      </c>
      <c r="T316">
        <f>IF($E316="","",COUNTIF($E$2:$E316,$E316))</f>
        <v>144</v>
      </c>
      <c r="U316" t="str">
        <f t="shared" si="4"/>
        <v>CLÁSICAS|144</v>
      </c>
    </row>
    <row r="317" spans="1:21" x14ac:dyDescent="0.25">
      <c r="A317" s="95" t="s">
        <v>409</v>
      </c>
      <c r="B317" s="96">
        <v>46185</v>
      </c>
      <c r="C317" s="95" t="s">
        <v>58</v>
      </c>
      <c r="D317" s="95" t="s">
        <v>40</v>
      </c>
      <c r="E317" s="95" t="s">
        <v>7</v>
      </c>
      <c r="F317" s="97">
        <v>0.5</v>
      </c>
      <c r="G317" s="98">
        <v>985</v>
      </c>
      <c r="H317" s="98">
        <v>1010</v>
      </c>
      <c r="I317" s="98">
        <v>979.69999999999993</v>
      </c>
      <c r="J317" s="98">
        <v>1040.3</v>
      </c>
      <c r="K317" s="99"/>
      <c r="L317" s="95" t="s">
        <v>45</v>
      </c>
      <c r="M317" s="95" t="s">
        <v>45</v>
      </c>
      <c r="N317" s="95" t="s">
        <v>45</v>
      </c>
      <c r="O317" s="95" t="s">
        <v>45</v>
      </c>
      <c r="P317" s="95" t="s">
        <v>45</v>
      </c>
      <c r="T317">
        <f>IF($E317="","",COUNTIF($E$2:$E317,$E317))</f>
        <v>145</v>
      </c>
      <c r="U317" t="str">
        <f t="shared" si="4"/>
        <v>CLÁSICAS|145</v>
      </c>
    </row>
    <row r="318" spans="1:21" x14ac:dyDescent="0.25">
      <c r="A318" s="95" t="s">
        <v>410</v>
      </c>
      <c r="B318" s="96">
        <v>46185</v>
      </c>
      <c r="C318" s="95" t="s">
        <v>58</v>
      </c>
      <c r="D318" s="95" t="s">
        <v>40</v>
      </c>
      <c r="E318" s="95" t="s">
        <v>7</v>
      </c>
      <c r="F318" s="97">
        <v>0.54166666666666663</v>
      </c>
      <c r="G318" s="98">
        <v>985</v>
      </c>
      <c r="H318" s="98">
        <v>1010</v>
      </c>
      <c r="I318" s="98">
        <v>979.69999999999993</v>
      </c>
      <c r="J318" s="98">
        <v>1040.3</v>
      </c>
      <c r="K318" s="99"/>
      <c r="L318" s="95" t="s">
        <v>45</v>
      </c>
      <c r="M318" s="95" t="s">
        <v>45</v>
      </c>
      <c r="N318" s="95" t="s">
        <v>45</v>
      </c>
      <c r="O318" s="95" t="s">
        <v>45</v>
      </c>
      <c r="P318" s="95" t="s">
        <v>45</v>
      </c>
      <c r="T318">
        <f>IF($E318="","",COUNTIF($E$2:$E318,$E318))</f>
        <v>146</v>
      </c>
      <c r="U318" t="str">
        <f t="shared" si="4"/>
        <v>CLÁSICAS|146</v>
      </c>
    </row>
    <row r="319" spans="1:21" x14ac:dyDescent="0.25">
      <c r="A319" s="95" t="s">
        <v>411</v>
      </c>
      <c r="B319" s="96">
        <v>46190</v>
      </c>
      <c r="C319" s="95" t="s">
        <v>58</v>
      </c>
      <c r="D319" s="95" t="s">
        <v>40</v>
      </c>
      <c r="E319" s="95" t="s">
        <v>7</v>
      </c>
      <c r="F319" s="97">
        <v>0.25</v>
      </c>
      <c r="G319" s="98">
        <v>985</v>
      </c>
      <c r="H319" s="98">
        <v>1010</v>
      </c>
      <c r="I319" s="98">
        <v>979.69999999999993</v>
      </c>
      <c r="J319" s="98">
        <v>1040.3</v>
      </c>
      <c r="K319" s="99"/>
      <c r="L319" s="95" t="s">
        <v>45</v>
      </c>
      <c r="M319" s="95" t="s">
        <v>45</v>
      </c>
      <c r="N319" s="95" t="s">
        <v>45</v>
      </c>
      <c r="O319" s="95" t="s">
        <v>45</v>
      </c>
      <c r="P319" s="95" t="s">
        <v>45</v>
      </c>
      <c r="T319">
        <f>IF($E319="","",COUNTIF($E$2:$E319,$E319))</f>
        <v>147</v>
      </c>
      <c r="U319" t="str">
        <f t="shared" si="4"/>
        <v>CLÁSICAS|147</v>
      </c>
    </row>
    <row r="320" spans="1:21" x14ac:dyDescent="0.25">
      <c r="A320" s="95" t="s">
        <v>412</v>
      </c>
      <c r="B320" s="96">
        <v>46190</v>
      </c>
      <c r="C320" s="95" t="s">
        <v>58</v>
      </c>
      <c r="D320" s="95" t="s">
        <v>40</v>
      </c>
      <c r="E320" s="95" t="s">
        <v>60</v>
      </c>
      <c r="F320" s="97">
        <v>0.25</v>
      </c>
      <c r="G320" s="98">
        <v>975</v>
      </c>
      <c r="H320" s="98">
        <v>992.5</v>
      </c>
      <c r="I320" s="98">
        <v>962.72500000000002</v>
      </c>
      <c r="J320" s="98">
        <v>1022.275</v>
      </c>
      <c r="K320" s="99"/>
      <c r="L320" s="95" t="s">
        <v>45</v>
      </c>
      <c r="M320" s="95" t="s">
        <v>45</v>
      </c>
      <c r="N320" s="95" t="s">
        <v>45</v>
      </c>
      <c r="O320" s="95" t="s">
        <v>45</v>
      </c>
      <c r="P320" s="95" t="s">
        <v>45</v>
      </c>
      <c r="T320">
        <f>IF($E320="","",COUNTIF($E$2:$E320,$E320))</f>
        <v>120</v>
      </c>
      <c r="U320" t="str">
        <f t="shared" si="4"/>
        <v>CERVICALES|120</v>
      </c>
    </row>
    <row r="321" spans="1:21" x14ac:dyDescent="0.25">
      <c r="A321" s="95" t="s">
        <v>413</v>
      </c>
      <c r="B321" s="96">
        <v>46190</v>
      </c>
      <c r="C321" s="95" t="s">
        <v>104</v>
      </c>
      <c r="D321" s="95" t="s">
        <v>40</v>
      </c>
      <c r="E321" s="95" t="s">
        <v>60</v>
      </c>
      <c r="F321" s="97">
        <v>0.25</v>
      </c>
      <c r="G321" s="98">
        <v>975</v>
      </c>
      <c r="H321" s="98">
        <v>992.5</v>
      </c>
      <c r="I321" s="98">
        <v>962.72500000000002</v>
      </c>
      <c r="J321" s="98">
        <v>1022.275</v>
      </c>
      <c r="K321" s="99"/>
      <c r="L321" s="95" t="s">
        <v>45</v>
      </c>
      <c r="M321" s="95" t="s">
        <v>45</v>
      </c>
      <c r="N321" s="95" t="s">
        <v>45</v>
      </c>
      <c r="O321" s="95" t="s">
        <v>45</v>
      </c>
      <c r="P321" s="95" t="s">
        <v>45</v>
      </c>
      <c r="T321">
        <f>IF($E321="","",COUNTIF($E$2:$E321,$E321))</f>
        <v>121</v>
      </c>
      <c r="U321" t="str">
        <f t="shared" si="4"/>
        <v>CERVICALES|121</v>
      </c>
    </row>
    <row r="322" spans="1:21" x14ac:dyDescent="0.25">
      <c r="A322" s="95" t="s">
        <v>414</v>
      </c>
      <c r="B322" s="96">
        <v>46190</v>
      </c>
      <c r="C322" s="95" t="s">
        <v>104</v>
      </c>
      <c r="D322" s="95" t="s">
        <v>40</v>
      </c>
      <c r="E322" s="95" t="s">
        <v>60</v>
      </c>
      <c r="F322" s="97">
        <v>0.29166666666666669</v>
      </c>
      <c r="G322" s="98">
        <v>975</v>
      </c>
      <c r="H322" s="98">
        <v>992.5</v>
      </c>
      <c r="I322" s="98">
        <v>962.72500000000002</v>
      </c>
      <c r="J322" s="98">
        <v>1022.275</v>
      </c>
      <c r="K322" s="99"/>
      <c r="L322" s="95" t="s">
        <v>45</v>
      </c>
      <c r="M322" s="95" t="s">
        <v>45</v>
      </c>
      <c r="N322" s="95" t="s">
        <v>45</v>
      </c>
      <c r="O322" s="95" t="s">
        <v>45</v>
      </c>
      <c r="P322" s="95" t="s">
        <v>45</v>
      </c>
      <c r="T322">
        <f>IF($E322="","",COUNTIF($E$2:$E322,$E322))</f>
        <v>122</v>
      </c>
      <c r="U322" t="str">
        <f t="shared" ref="U322:U385" si="5">IF($E322="","",$E322&amp;"|"&amp;T322)</f>
        <v>CERVICALES|122</v>
      </c>
    </row>
    <row r="323" spans="1:21" x14ac:dyDescent="0.25">
      <c r="A323" s="95" t="s">
        <v>415</v>
      </c>
      <c r="B323" s="96">
        <v>46190</v>
      </c>
      <c r="C323" s="95" t="s">
        <v>104</v>
      </c>
      <c r="D323" s="95" t="s">
        <v>40</v>
      </c>
      <c r="E323" s="95" t="s">
        <v>7</v>
      </c>
      <c r="F323" s="97">
        <v>0.25</v>
      </c>
      <c r="G323" s="98">
        <v>975</v>
      </c>
      <c r="H323" s="98">
        <v>1010</v>
      </c>
      <c r="I323" s="98">
        <v>979.69999999999993</v>
      </c>
      <c r="J323" s="98">
        <v>1040.3</v>
      </c>
      <c r="K323" s="99"/>
      <c r="L323" s="95" t="s">
        <v>45</v>
      </c>
      <c r="M323" s="95" t="s">
        <v>45</v>
      </c>
      <c r="N323" s="95" t="s">
        <v>45</v>
      </c>
      <c r="O323" s="95" t="s">
        <v>45</v>
      </c>
      <c r="P323" s="95" t="s">
        <v>45</v>
      </c>
      <c r="T323">
        <f>IF($E323="","",COUNTIF($E$2:$E323,$E323))</f>
        <v>148</v>
      </c>
      <c r="U323" t="str">
        <f t="shared" si="5"/>
        <v>CLÁSICAS|148</v>
      </c>
    </row>
    <row r="324" spans="1:21" x14ac:dyDescent="0.25">
      <c r="A324" s="95" t="s">
        <v>416</v>
      </c>
      <c r="B324" s="96">
        <v>46190</v>
      </c>
      <c r="C324" s="95" t="s">
        <v>104</v>
      </c>
      <c r="D324" s="95" t="s">
        <v>40</v>
      </c>
      <c r="E324" s="95" t="s">
        <v>7</v>
      </c>
      <c r="F324" s="97">
        <v>0.29166666666666669</v>
      </c>
      <c r="G324" s="98">
        <v>975</v>
      </c>
      <c r="H324" s="98">
        <v>1010</v>
      </c>
      <c r="I324" s="98">
        <v>979.69999999999993</v>
      </c>
      <c r="J324" s="98">
        <v>1040.3</v>
      </c>
      <c r="K324" s="99"/>
      <c r="L324" s="95" t="s">
        <v>45</v>
      </c>
      <c r="M324" s="95" t="s">
        <v>45</v>
      </c>
      <c r="N324" s="95" t="s">
        <v>45</v>
      </c>
      <c r="O324" s="95" t="s">
        <v>45</v>
      </c>
      <c r="P324" s="95" t="s">
        <v>45</v>
      </c>
      <c r="T324">
        <f>IF($E324="","",COUNTIF($E$2:$E324,$E324))</f>
        <v>149</v>
      </c>
      <c r="U324" t="str">
        <f t="shared" si="5"/>
        <v>CLÁSICAS|149</v>
      </c>
    </row>
    <row r="325" spans="1:21" x14ac:dyDescent="0.25">
      <c r="A325" s="95" t="s">
        <v>417</v>
      </c>
      <c r="B325" s="96">
        <v>46190</v>
      </c>
      <c r="C325" s="95" t="s">
        <v>58</v>
      </c>
      <c r="D325" s="95" t="s">
        <v>40</v>
      </c>
      <c r="E325" s="95" t="s">
        <v>7</v>
      </c>
      <c r="F325" s="97">
        <v>0.375</v>
      </c>
      <c r="G325" s="98">
        <v>985</v>
      </c>
      <c r="H325" s="98">
        <v>1010</v>
      </c>
      <c r="I325" s="98">
        <v>979.69999999999993</v>
      </c>
      <c r="J325" s="98">
        <v>1040.3</v>
      </c>
      <c r="K325" s="99"/>
      <c r="L325" s="95" t="s">
        <v>45</v>
      </c>
      <c r="M325" s="95" t="s">
        <v>45</v>
      </c>
      <c r="N325" s="95" t="s">
        <v>45</v>
      </c>
      <c r="O325" s="95" t="s">
        <v>45</v>
      </c>
      <c r="P325" s="95" t="s">
        <v>45</v>
      </c>
      <c r="T325">
        <f>IF($E325="","",COUNTIF($E$2:$E325,$E325))</f>
        <v>150</v>
      </c>
      <c r="U325" t="str">
        <f t="shared" si="5"/>
        <v>CLÁSICAS|150</v>
      </c>
    </row>
    <row r="326" spans="1:21" x14ac:dyDescent="0.25">
      <c r="A326" s="95" t="s">
        <v>418</v>
      </c>
      <c r="B326" s="96">
        <v>46190</v>
      </c>
      <c r="C326" s="95" t="s">
        <v>58</v>
      </c>
      <c r="D326" s="95" t="s">
        <v>40</v>
      </c>
      <c r="E326" s="95" t="s">
        <v>60</v>
      </c>
      <c r="F326" s="97">
        <v>0.375</v>
      </c>
      <c r="G326" s="98">
        <v>975</v>
      </c>
      <c r="H326" s="98">
        <v>992.5</v>
      </c>
      <c r="I326" s="98">
        <v>962.72500000000002</v>
      </c>
      <c r="J326" s="98">
        <v>1022.275</v>
      </c>
      <c r="K326" s="99"/>
      <c r="L326" s="95" t="s">
        <v>45</v>
      </c>
      <c r="M326" s="95" t="s">
        <v>45</v>
      </c>
      <c r="N326" s="95" t="s">
        <v>45</v>
      </c>
      <c r="O326" s="95" t="s">
        <v>45</v>
      </c>
      <c r="P326" s="95" t="s">
        <v>45</v>
      </c>
      <c r="T326">
        <f>IF($E326="","",COUNTIF($E$2:$E326,$E326))</f>
        <v>123</v>
      </c>
      <c r="U326" t="str">
        <f t="shared" si="5"/>
        <v>CERVICALES|123</v>
      </c>
    </row>
    <row r="327" spans="1:21" x14ac:dyDescent="0.25">
      <c r="A327" s="95" t="s">
        <v>419</v>
      </c>
      <c r="B327" s="96">
        <v>46190</v>
      </c>
      <c r="C327" s="95" t="s">
        <v>58</v>
      </c>
      <c r="D327" s="95" t="s">
        <v>40</v>
      </c>
      <c r="E327" s="95" t="s">
        <v>60</v>
      </c>
      <c r="F327" s="97">
        <v>0.41666666666666669</v>
      </c>
      <c r="G327" s="98">
        <v>975</v>
      </c>
      <c r="H327" s="98">
        <v>992.5</v>
      </c>
      <c r="I327" s="98">
        <v>962.72500000000002</v>
      </c>
      <c r="J327" s="98">
        <v>1022.275</v>
      </c>
      <c r="K327" s="99"/>
      <c r="L327" s="95" t="s">
        <v>45</v>
      </c>
      <c r="M327" s="95" t="s">
        <v>45</v>
      </c>
      <c r="N327" s="95" t="s">
        <v>45</v>
      </c>
      <c r="O327" s="95" t="s">
        <v>45</v>
      </c>
      <c r="P327" s="95" t="s">
        <v>45</v>
      </c>
      <c r="T327">
        <f>IF($E327="","",COUNTIF($E$2:$E327,$E327))</f>
        <v>124</v>
      </c>
      <c r="U327" t="str">
        <f t="shared" si="5"/>
        <v>CERVICALES|124</v>
      </c>
    </row>
    <row r="328" spans="1:21" x14ac:dyDescent="0.25">
      <c r="A328" s="95" t="s">
        <v>420</v>
      </c>
      <c r="B328" s="96">
        <v>46190</v>
      </c>
      <c r="C328" s="95" t="s">
        <v>58</v>
      </c>
      <c r="D328" s="95" t="s">
        <v>40</v>
      </c>
      <c r="E328" s="95" t="s">
        <v>7</v>
      </c>
      <c r="F328" s="97">
        <v>0.41666666666666669</v>
      </c>
      <c r="G328" s="98">
        <v>995</v>
      </c>
      <c r="H328" s="98">
        <v>1010</v>
      </c>
      <c r="I328" s="98">
        <v>979.69999999999993</v>
      </c>
      <c r="J328" s="98">
        <v>1040.3</v>
      </c>
      <c r="K328" s="99"/>
      <c r="L328" s="95" t="s">
        <v>45</v>
      </c>
      <c r="M328" s="95" t="s">
        <v>45</v>
      </c>
      <c r="N328" s="95" t="s">
        <v>45</v>
      </c>
      <c r="O328" s="95" t="s">
        <v>45</v>
      </c>
      <c r="P328" s="95" t="s">
        <v>45</v>
      </c>
      <c r="T328">
        <f>IF($E328="","",COUNTIF($E$2:$E328,$E328))</f>
        <v>151</v>
      </c>
      <c r="U328" t="str">
        <f t="shared" si="5"/>
        <v>CLÁSICAS|151</v>
      </c>
    </row>
    <row r="329" spans="1:21" x14ac:dyDescent="0.25">
      <c r="A329" s="95" t="s">
        <v>421</v>
      </c>
      <c r="B329" s="96">
        <v>46190</v>
      </c>
      <c r="C329" s="95" t="s">
        <v>104</v>
      </c>
      <c r="D329" s="95" t="s">
        <v>40</v>
      </c>
      <c r="E329" s="95" t="s">
        <v>7</v>
      </c>
      <c r="F329" s="97">
        <v>0.45833333333333331</v>
      </c>
      <c r="G329" s="98">
        <v>995</v>
      </c>
      <c r="H329" s="98">
        <v>1010</v>
      </c>
      <c r="I329" s="98">
        <v>979.69999999999993</v>
      </c>
      <c r="J329" s="98">
        <v>1040.3</v>
      </c>
      <c r="K329" s="99"/>
      <c r="L329" s="95" t="s">
        <v>45</v>
      </c>
      <c r="M329" s="95" t="s">
        <v>45</v>
      </c>
      <c r="N329" s="95" t="s">
        <v>45</v>
      </c>
      <c r="O329" s="95" t="s">
        <v>45</v>
      </c>
      <c r="P329" s="95" t="s">
        <v>45</v>
      </c>
      <c r="T329">
        <f>IF($E329="","",COUNTIF($E$2:$E329,$E329))</f>
        <v>152</v>
      </c>
      <c r="U329" t="str">
        <f t="shared" si="5"/>
        <v>CLÁSICAS|152</v>
      </c>
    </row>
    <row r="330" spans="1:21" x14ac:dyDescent="0.25">
      <c r="A330" s="95" t="s">
        <v>422</v>
      </c>
      <c r="B330" s="96">
        <v>46190</v>
      </c>
      <c r="C330" s="95" t="s">
        <v>104</v>
      </c>
      <c r="D330" s="95" t="s">
        <v>40</v>
      </c>
      <c r="E330" s="95" t="s">
        <v>60</v>
      </c>
      <c r="F330" s="97">
        <v>0.45833333333333331</v>
      </c>
      <c r="G330" s="98">
        <v>995</v>
      </c>
      <c r="H330" s="98">
        <v>992.5</v>
      </c>
      <c r="I330" s="98">
        <v>962.72500000000002</v>
      </c>
      <c r="J330" s="98">
        <v>1022.275</v>
      </c>
      <c r="K330" s="99"/>
      <c r="L330" s="95" t="s">
        <v>45</v>
      </c>
      <c r="M330" s="95" t="s">
        <v>45</v>
      </c>
      <c r="N330" s="95" t="s">
        <v>45</v>
      </c>
      <c r="O330" s="95" t="s">
        <v>45</v>
      </c>
      <c r="P330" s="95" t="s">
        <v>45</v>
      </c>
      <c r="T330">
        <f>IF($E330="","",COUNTIF($E$2:$E330,$E330))</f>
        <v>125</v>
      </c>
      <c r="U330" t="str">
        <f t="shared" si="5"/>
        <v>CERVICALES|125</v>
      </c>
    </row>
    <row r="331" spans="1:21" x14ac:dyDescent="0.25">
      <c r="A331" s="95" t="s">
        <v>423</v>
      </c>
      <c r="B331" s="96">
        <v>46190</v>
      </c>
      <c r="C331" s="95" t="s">
        <v>104</v>
      </c>
      <c r="D331" s="95" t="s">
        <v>40</v>
      </c>
      <c r="E331" s="95" t="s">
        <v>62</v>
      </c>
      <c r="F331" s="97">
        <v>0.5</v>
      </c>
      <c r="G331" s="98">
        <v>995</v>
      </c>
      <c r="H331" s="98">
        <v>995</v>
      </c>
      <c r="I331" s="98">
        <v>965.15</v>
      </c>
      <c r="J331" s="98">
        <v>1024.8500000000001</v>
      </c>
      <c r="K331" s="99"/>
      <c r="L331" s="95" t="s">
        <v>45</v>
      </c>
      <c r="M331" s="95" t="s">
        <v>45</v>
      </c>
      <c r="N331" s="95" t="s">
        <v>45</v>
      </c>
      <c r="O331" s="95" t="s">
        <v>45</v>
      </c>
      <c r="P331" s="95" t="s">
        <v>45</v>
      </c>
      <c r="T331">
        <f>IF($E331="","",COUNTIF($E$2:$E331,$E331))</f>
        <v>25</v>
      </c>
      <c r="U331" t="str">
        <f t="shared" si="5"/>
        <v>THERMOSENSE|25</v>
      </c>
    </row>
    <row r="332" spans="1:21" x14ac:dyDescent="0.25">
      <c r="A332" s="95" t="s">
        <v>424</v>
      </c>
      <c r="B332" s="96">
        <v>46190</v>
      </c>
      <c r="C332" s="95" t="s">
        <v>104</v>
      </c>
      <c r="D332" s="95" t="s">
        <v>40</v>
      </c>
      <c r="E332" s="95" t="s">
        <v>62</v>
      </c>
      <c r="F332" s="97">
        <v>0.54166666666666663</v>
      </c>
      <c r="G332" s="98">
        <v>995</v>
      </c>
      <c r="H332" s="98">
        <v>995</v>
      </c>
      <c r="I332" s="98">
        <v>965.15</v>
      </c>
      <c r="J332" s="98">
        <v>1024.8500000000001</v>
      </c>
      <c r="K332" s="99"/>
      <c r="L332" s="95" t="s">
        <v>45</v>
      </c>
      <c r="M332" s="95" t="s">
        <v>45</v>
      </c>
      <c r="N332" s="95" t="s">
        <v>45</v>
      </c>
      <c r="O332" s="95" t="s">
        <v>45</v>
      </c>
      <c r="P332" s="95" t="s">
        <v>45</v>
      </c>
      <c r="T332">
        <f>IF($E332="","",COUNTIF($E$2:$E332,$E332))</f>
        <v>26</v>
      </c>
      <c r="U332" t="str">
        <f t="shared" si="5"/>
        <v>THERMOSENSE|26</v>
      </c>
    </row>
    <row r="333" spans="1:21" x14ac:dyDescent="0.25">
      <c r="A333" s="95" t="s">
        <v>425</v>
      </c>
      <c r="B333" s="96">
        <v>46191</v>
      </c>
      <c r="C333" s="95" t="s">
        <v>58</v>
      </c>
      <c r="D333" s="95" t="s">
        <v>40</v>
      </c>
      <c r="E333" s="95" t="s">
        <v>60</v>
      </c>
      <c r="F333" s="97">
        <v>0.25</v>
      </c>
      <c r="G333" s="98">
        <v>975</v>
      </c>
      <c r="H333" s="98">
        <v>992.5</v>
      </c>
      <c r="I333" s="98">
        <v>962.72500000000002</v>
      </c>
      <c r="J333" s="98">
        <v>1022.275</v>
      </c>
      <c r="K333" s="99"/>
      <c r="L333" s="95" t="s">
        <v>45</v>
      </c>
      <c r="M333" s="95" t="s">
        <v>45</v>
      </c>
      <c r="N333" s="95" t="s">
        <v>45</v>
      </c>
      <c r="O333" s="95" t="s">
        <v>45</v>
      </c>
      <c r="P333" s="95" t="s">
        <v>45</v>
      </c>
      <c r="T333">
        <f>IF($E333="","",COUNTIF($E$2:$E333,$E333))</f>
        <v>126</v>
      </c>
      <c r="U333" t="str">
        <f t="shared" si="5"/>
        <v>CERVICALES|126</v>
      </c>
    </row>
    <row r="334" spans="1:21" x14ac:dyDescent="0.25">
      <c r="A334" s="95" t="s">
        <v>426</v>
      </c>
      <c r="B334" s="96">
        <v>46191</v>
      </c>
      <c r="C334" s="95" t="s">
        <v>58</v>
      </c>
      <c r="D334" s="95" t="s">
        <v>40</v>
      </c>
      <c r="E334" s="95" t="s">
        <v>62</v>
      </c>
      <c r="F334" s="97">
        <v>0.25</v>
      </c>
      <c r="G334" s="98">
        <v>980</v>
      </c>
      <c r="H334" s="98">
        <v>995</v>
      </c>
      <c r="I334" s="98">
        <v>965.15</v>
      </c>
      <c r="J334" s="98">
        <v>1024.8500000000001</v>
      </c>
      <c r="K334" s="99"/>
      <c r="L334" s="95" t="s">
        <v>45</v>
      </c>
      <c r="M334" s="95" t="s">
        <v>45</v>
      </c>
      <c r="N334" s="95" t="s">
        <v>45</v>
      </c>
      <c r="O334" s="95" t="s">
        <v>45</v>
      </c>
      <c r="P334" s="95" t="s">
        <v>45</v>
      </c>
      <c r="T334">
        <f>IF($E334="","",COUNTIF($E$2:$E334,$E334))</f>
        <v>27</v>
      </c>
      <c r="U334" t="str">
        <f t="shared" si="5"/>
        <v>THERMOSENSE|27</v>
      </c>
    </row>
    <row r="335" spans="1:21" x14ac:dyDescent="0.25">
      <c r="A335" s="95" t="s">
        <v>427</v>
      </c>
      <c r="B335" s="96">
        <v>46191</v>
      </c>
      <c r="C335" s="95" t="s">
        <v>58</v>
      </c>
      <c r="D335" s="95" t="s">
        <v>40</v>
      </c>
      <c r="E335" s="95" t="s">
        <v>62</v>
      </c>
      <c r="F335" s="97">
        <v>0.29166666666666669</v>
      </c>
      <c r="G335" s="98">
        <v>980</v>
      </c>
      <c r="H335" s="98">
        <v>995</v>
      </c>
      <c r="I335" s="98">
        <v>965.15</v>
      </c>
      <c r="J335" s="98">
        <v>1024.8500000000001</v>
      </c>
      <c r="K335" s="99"/>
      <c r="L335" s="95" t="s">
        <v>45</v>
      </c>
      <c r="M335" s="95" t="s">
        <v>45</v>
      </c>
      <c r="N335" s="95" t="s">
        <v>45</v>
      </c>
      <c r="O335" s="95" t="s">
        <v>45</v>
      </c>
      <c r="P335" s="95" t="s">
        <v>45</v>
      </c>
      <c r="T335">
        <f>IF($E335="","",COUNTIF($E$2:$E335,$E335))</f>
        <v>28</v>
      </c>
      <c r="U335" t="str">
        <f t="shared" si="5"/>
        <v>THERMOSENSE|28</v>
      </c>
    </row>
    <row r="336" spans="1:21" x14ac:dyDescent="0.25">
      <c r="A336" s="95" t="s">
        <v>428</v>
      </c>
      <c r="B336" s="96">
        <v>46191</v>
      </c>
      <c r="C336" s="95" t="s">
        <v>58</v>
      </c>
      <c r="D336" s="95" t="s">
        <v>40</v>
      </c>
      <c r="E336" s="95" t="s">
        <v>60</v>
      </c>
      <c r="F336" s="97">
        <v>0.29166666666666669</v>
      </c>
      <c r="G336" s="98">
        <v>975</v>
      </c>
      <c r="H336" s="98">
        <v>992.5</v>
      </c>
      <c r="I336" s="98">
        <v>962.72500000000002</v>
      </c>
      <c r="J336" s="98">
        <v>1022.275</v>
      </c>
      <c r="K336" s="99"/>
      <c r="L336" s="95" t="s">
        <v>45</v>
      </c>
      <c r="M336" s="95" t="s">
        <v>45</v>
      </c>
      <c r="N336" s="95" t="s">
        <v>45</v>
      </c>
      <c r="O336" s="95" t="s">
        <v>45</v>
      </c>
      <c r="P336" s="95" t="s">
        <v>45</v>
      </c>
      <c r="T336">
        <f>IF($E336="","",COUNTIF($E$2:$E336,$E336))</f>
        <v>127</v>
      </c>
      <c r="U336" t="str">
        <f t="shared" si="5"/>
        <v>CERVICALES|127</v>
      </c>
    </row>
    <row r="337" spans="1:21" x14ac:dyDescent="0.25">
      <c r="A337" s="95" t="s">
        <v>429</v>
      </c>
      <c r="B337" s="96">
        <v>46191</v>
      </c>
      <c r="C337" s="95" t="s">
        <v>58</v>
      </c>
      <c r="D337" s="95" t="s">
        <v>40</v>
      </c>
      <c r="E337" s="95" t="s">
        <v>60</v>
      </c>
      <c r="F337" s="97">
        <v>0.33333333333333331</v>
      </c>
      <c r="G337" s="98">
        <v>980</v>
      </c>
      <c r="H337" s="98">
        <v>992.5</v>
      </c>
      <c r="I337" s="98">
        <v>962.72500000000002</v>
      </c>
      <c r="J337" s="98">
        <v>1022.275</v>
      </c>
      <c r="K337" s="99"/>
      <c r="L337" s="95" t="s">
        <v>45</v>
      </c>
      <c r="M337" s="95" t="s">
        <v>45</v>
      </c>
      <c r="N337" s="95" t="s">
        <v>45</v>
      </c>
      <c r="O337" s="95" t="s">
        <v>45</v>
      </c>
      <c r="P337" s="95" t="s">
        <v>45</v>
      </c>
      <c r="T337">
        <f>IF($E337="","",COUNTIF($E$2:$E337,$E337))</f>
        <v>128</v>
      </c>
      <c r="U337" t="str">
        <f t="shared" si="5"/>
        <v>CERVICALES|128</v>
      </c>
    </row>
    <row r="338" spans="1:21" x14ac:dyDescent="0.25">
      <c r="A338" s="95" t="s">
        <v>430</v>
      </c>
      <c r="B338" s="96">
        <v>46191</v>
      </c>
      <c r="C338" s="95" t="s">
        <v>58</v>
      </c>
      <c r="D338" s="95" t="s">
        <v>40</v>
      </c>
      <c r="E338" s="95" t="s">
        <v>60</v>
      </c>
      <c r="F338" s="97">
        <v>0.375</v>
      </c>
      <c r="G338" s="98">
        <v>980</v>
      </c>
      <c r="H338" s="98">
        <v>992.5</v>
      </c>
      <c r="I338" s="98">
        <v>962.72500000000002</v>
      </c>
      <c r="J338" s="98">
        <v>1022.275</v>
      </c>
      <c r="K338" s="99"/>
      <c r="L338" s="95" t="s">
        <v>45</v>
      </c>
      <c r="M338" s="95" t="s">
        <v>45</v>
      </c>
      <c r="N338" s="95" t="s">
        <v>45</v>
      </c>
      <c r="O338" s="95" t="s">
        <v>45</v>
      </c>
      <c r="P338" s="95" t="s">
        <v>45</v>
      </c>
      <c r="T338">
        <f>IF($E338="","",COUNTIF($E$2:$E338,$E338))</f>
        <v>129</v>
      </c>
      <c r="U338" t="str">
        <f t="shared" si="5"/>
        <v>CERVICALES|129</v>
      </c>
    </row>
    <row r="339" spans="1:21" x14ac:dyDescent="0.25">
      <c r="A339" s="95" t="s">
        <v>431</v>
      </c>
      <c r="B339" s="96">
        <v>46191</v>
      </c>
      <c r="C339" s="95" t="s">
        <v>58</v>
      </c>
      <c r="D339" s="95" t="s">
        <v>40</v>
      </c>
      <c r="E339" s="95" t="s">
        <v>62</v>
      </c>
      <c r="F339" s="97">
        <v>0.375</v>
      </c>
      <c r="G339" s="98">
        <v>985</v>
      </c>
      <c r="H339" s="98">
        <v>995</v>
      </c>
      <c r="I339" s="98">
        <v>965.15</v>
      </c>
      <c r="J339" s="98">
        <v>1024.8500000000001</v>
      </c>
      <c r="K339" s="99"/>
      <c r="L339" s="95" t="s">
        <v>45</v>
      </c>
      <c r="M339" s="95" t="s">
        <v>45</v>
      </c>
      <c r="N339" s="95" t="s">
        <v>45</v>
      </c>
      <c r="O339" s="95" t="s">
        <v>45</v>
      </c>
      <c r="P339" s="95" t="s">
        <v>45</v>
      </c>
      <c r="T339">
        <f>IF($E339="","",COUNTIF($E$2:$E339,$E339))</f>
        <v>29</v>
      </c>
      <c r="U339" t="str">
        <f t="shared" si="5"/>
        <v>THERMOSENSE|29</v>
      </c>
    </row>
    <row r="340" spans="1:21" x14ac:dyDescent="0.25">
      <c r="A340" s="95" t="s">
        <v>432</v>
      </c>
      <c r="B340" s="96">
        <v>46191</v>
      </c>
      <c r="C340" s="95" t="s">
        <v>58</v>
      </c>
      <c r="D340" s="95" t="s">
        <v>40</v>
      </c>
      <c r="E340" s="95" t="s">
        <v>62</v>
      </c>
      <c r="F340" s="97">
        <v>0.45833333333333331</v>
      </c>
      <c r="G340" s="98">
        <v>985</v>
      </c>
      <c r="H340" s="98">
        <v>995</v>
      </c>
      <c r="I340" s="98">
        <v>965.15</v>
      </c>
      <c r="J340" s="98">
        <v>1024.8500000000001</v>
      </c>
      <c r="K340" s="99"/>
      <c r="L340" s="95" t="s">
        <v>45</v>
      </c>
      <c r="M340" s="95" t="s">
        <v>45</v>
      </c>
      <c r="N340" s="95" t="s">
        <v>45</v>
      </c>
      <c r="O340" s="95" t="s">
        <v>45</v>
      </c>
      <c r="P340" s="95" t="s">
        <v>45</v>
      </c>
      <c r="T340">
        <f>IF($E340="","",COUNTIF($E$2:$E340,$E340))</f>
        <v>30</v>
      </c>
      <c r="U340" t="str">
        <f t="shared" si="5"/>
        <v>THERMOSENSE|30</v>
      </c>
    </row>
    <row r="341" spans="1:21" x14ac:dyDescent="0.25">
      <c r="A341" s="95" t="s">
        <v>433</v>
      </c>
      <c r="B341" s="96">
        <v>46191</v>
      </c>
      <c r="C341" s="95" t="s">
        <v>58</v>
      </c>
      <c r="D341" s="95" t="s">
        <v>40</v>
      </c>
      <c r="E341" s="95" t="s">
        <v>60</v>
      </c>
      <c r="F341" s="97">
        <v>0.45833333333333331</v>
      </c>
      <c r="G341" s="98">
        <v>975</v>
      </c>
      <c r="H341" s="98">
        <v>992.5</v>
      </c>
      <c r="I341" s="98">
        <v>962.72500000000002</v>
      </c>
      <c r="J341" s="98">
        <v>1022.275</v>
      </c>
      <c r="K341" s="99"/>
      <c r="L341" s="95" t="s">
        <v>45</v>
      </c>
      <c r="M341" s="95" t="s">
        <v>45</v>
      </c>
      <c r="N341" s="95" t="s">
        <v>45</v>
      </c>
      <c r="O341" s="95" t="s">
        <v>45</v>
      </c>
      <c r="P341" s="95" t="s">
        <v>45</v>
      </c>
      <c r="T341">
        <f>IF($E341="","",COUNTIF($E$2:$E341,$E341))</f>
        <v>130</v>
      </c>
      <c r="U341" t="str">
        <f t="shared" si="5"/>
        <v>CERVICALES|130</v>
      </c>
    </row>
    <row r="342" spans="1:21" x14ac:dyDescent="0.25">
      <c r="A342" s="95" t="s">
        <v>434</v>
      </c>
      <c r="B342" s="96">
        <v>46191</v>
      </c>
      <c r="C342" s="95" t="s">
        <v>58</v>
      </c>
      <c r="D342" s="95" t="s">
        <v>40</v>
      </c>
      <c r="E342" s="95" t="s">
        <v>60</v>
      </c>
      <c r="F342" s="97">
        <v>0.5</v>
      </c>
      <c r="G342" s="98">
        <v>975</v>
      </c>
      <c r="H342" s="98">
        <v>992.5</v>
      </c>
      <c r="I342" s="98">
        <v>962.72500000000002</v>
      </c>
      <c r="J342" s="98">
        <v>1022.275</v>
      </c>
      <c r="K342" s="99"/>
      <c r="L342" s="95" t="s">
        <v>45</v>
      </c>
      <c r="M342" s="95" t="s">
        <v>45</v>
      </c>
      <c r="N342" s="95" t="s">
        <v>45</v>
      </c>
      <c r="O342" s="95" t="s">
        <v>45</v>
      </c>
      <c r="P342" s="95" t="s">
        <v>45</v>
      </c>
      <c r="T342">
        <f>IF($E342="","",COUNTIF($E$2:$E342,$E342))</f>
        <v>131</v>
      </c>
      <c r="U342" t="str">
        <f t="shared" si="5"/>
        <v>CERVICALES|131</v>
      </c>
    </row>
    <row r="343" spans="1:21" x14ac:dyDescent="0.25">
      <c r="A343" s="95" t="s">
        <v>435</v>
      </c>
      <c r="B343" s="96">
        <v>46191</v>
      </c>
      <c r="C343" s="95" t="s">
        <v>58</v>
      </c>
      <c r="D343" s="95" t="s">
        <v>40</v>
      </c>
      <c r="E343" s="95" t="s">
        <v>62</v>
      </c>
      <c r="F343" s="97">
        <v>0.5</v>
      </c>
      <c r="G343" s="98">
        <v>985</v>
      </c>
      <c r="H343" s="98">
        <v>995</v>
      </c>
      <c r="I343" s="98">
        <v>965.15</v>
      </c>
      <c r="J343" s="98">
        <v>1024.8500000000001</v>
      </c>
      <c r="K343" s="99"/>
      <c r="L343" s="95" t="s">
        <v>45</v>
      </c>
      <c r="M343" s="95" t="s">
        <v>45</v>
      </c>
      <c r="N343" s="95" t="s">
        <v>45</v>
      </c>
      <c r="O343" s="95" t="s">
        <v>45</v>
      </c>
      <c r="P343" s="95" t="s">
        <v>45</v>
      </c>
      <c r="T343">
        <f>IF($E343="","",COUNTIF($E$2:$E343,$E343))</f>
        <v>31</v>
      </c>
      <c r="U343" t="str">
        <f t="shared" si="5"/>
        <v>THERMOSENSE|31</v>
      </c>
    </row>
    <row r="344" spans="1:21" x14ac:dyDescent="0.25">
      <c r="A344" s="95" t="s">
        <v>436</v>
      </c>
      <c r="B344" s="96">
        <v>46191</v>
      </c>
      <c r="C344" s="95" t="s">
        <v>58</v>
      </c>
      <c r="D344" s="95" t="s">
        <v>40</v>
      </c>
      <c r="E344" s="95" t="s">
        <v>62</v>
      </c>
      <c r="F344" s="97">
        <v>0.54166666666666663</v>
      </c>
      <c r="G344" s="98">
        <v>985</v>
      </c>
      <c r="H344" s="98">
        <v>995</v>
      </c>
      <c r="I344" s="98">
        <v>965.15</v>
      </c>
      <c r="J344" s="98">
        <v>1024.8500000000001</v>
      </c>
      <c r="K344" s="99"/>
      <c r="L344" s="95" t="s">
        <v>45</v>
      </c>
      <c r="M344" s="95" t="s">
        <v>45</v>
      </c>
      <c r="N344" s="95" t="s">
        <v>45</v>
      </c>
      <c r="O344" s="95" t="s">
        <v>45</v>
      </c>
      <c r="P344" s="95" t="s">
        <v>45</v>
      </c>
      <c r="T344">
        <f>IF($E344="","",COUNTIF($E$2:$E344,$E344))</f>
        <v>32</v>
      </c>
      <c r="U344" t="str">
        <f t="shared" si="5"/>
        <v>THERMOSENSE|32</v>
      </c>
    </row>
    <row r="345" spans="1:21" x14ac:dyDescent="0.25">
      <c r="A345" s="95" t="s">
        <v>437</v>
      </c>
      <c r="B345" s="96">
        <v>46191</v>
      </c>
      <c r="C345" s="95" t="s">
        <v>58</v>
      </c>
      <c r="D345" s="95" t="s">
        <v>40</v>
      </c>
      <c r="E345" s="95" t="s">
        <v>7</v>
      </c>
      <c r="F345" s="97">
        <v>0.54166666666666663</v>
      </c>
      <c r="G345" s="98">
        <v>990</v>
      </c>
      <c r="H345" s="98">
        <v>1010</v>
      </c>
      <c r="I345" s="98">
        <v>979.69999999999993</v>
      </c>
      <c r="J345" s="98">
        <v>1040.3</v>
      </c>
      <c r="K345" s="99"/>
      <c r="L345" s="95" t="s">
        <v>45</v>
      </c>
      <c r="M345" s="95" t="s">
        <v>45</v>
      </c>
      <c r="N345" s="95" t="s">
        <v>45</v>
      </c>
      <c r="O345" s="95" t="s">
        <v>45</v>
      </c>
      <c r="P345" s="95" t="s">
        <v>45</v>
      </c>
      <c r="T345">
        <f>IF($E345="","",COUNTIF($E$2:$E345,$E345))</f>
        <v>153</v>
      </c>
      <c r="U345" t="str">
        <f t="shared" si="5"/>
        <v>CLÁSICAS|153</v>
      </c>
    </row>
    <row r="346" spans="1:21" x14ac:dyDescent="0.25">
      <c r="A346" s="95" t="s">
        <v>438</v>
      </c>
      <c r="B346" s="96">
        <v>46192</v>
      </c>
      <c r="C346" s="95" t="s">
        <v>58</v>
      </c>
      <c r="D346" s="95" t="s">
        <v>40</v>
      </c>
      <c r="E346" s="95" t="s">
        <v>7</v>
      </c>
      <c r="F346" s="97">
        <v>0.25</v>
      </c>
      <c r="G346" s="98">
        <v>990</v>
      </c>
      <c r="H346" s="98">
        <v>1010</v>
      </c>
      <c r="I346" s="98">
        <v>979.69999999999993</v>
      </c>
      <c r="J346" s="98">
        <v>1040.3</v>
      </c>
      <c r="K346" s="99"/>
      <c r="L346" s="95" t="s">
        <v>45</v>
      </c>
      <c r="M346" s="95" t="s">
        <v>45</v>
      </c>
      <c r="N346" s="95" t="s">
        <v>45</v>
      </c>
      <c r="O346" s="95" t="s">
        <v>45</v>
      </c>
      <c r="P346" s="95" t="s">
        <v>45</v>
      </c>
      <c r="T346">
        <f>IF($E346="","",COUNTIF($E$2:$E346,$E346))</f>
        <v>154</v>
      </c>
      <c r="U346" t="str">
        <f t="shared" si="5"/>
        <v>CLÁSICAS|154</v>
      </c>
    </row>
    <row r="347" spans="1:21" x14ac:dyDescent="0.25">
      <c r="A347" s="95" t="s">
        <v>439</v>
      </c>
      <c r="B347" s="96">
        <v>46192</v>
      </c>
      <c r="C347" s="95" t="s">
        <v>58</v>
      </c>
      <c r="D347" s="95" t="s">
        <v>40</v>
      </c>
      <c r="E347" s="95" t="s">
        <v>7</v>
      </c>
      <c r="F347" s="97">
        <v>0.29166666666666669</v>
      </c>
      <c r="G347" s="98">
        <v>990</v>
      </c>
      <c r="H347" s="98">
        <v>1010</v>
      </c>
      <c r="I347" s="98">
        <v>979.69999999999993</v>
      </c>
      <c r="J347" s="98">
        <v>1040.3</v>
      </c>
      <c r="K347" s="99"/>
      <c r="L347" s="95" t="s">
        <v>45</v>
      </c>
      <c r="M347" s="95" t="s">
        <v>45</v>
      </c>
      <c r="N347" s="95" t="s">
        <v>45</v>
      </c>
      <c r="O347" s="95" t="s">
        <v>45</v>
      </c>
      <c r="P347" s="95" t="s">
        <v>45</v>
      </c>
      <c r="T347">
        <f>IF($E347="","",COUNTIF($E$2:$E347,$E347))</f>
        <v>155</v>
      </c>
      <c r="U347" t="str">
        <f t="shared" si="5"/>
        <v>CLÁSICAS|155</v>
      </c>
    </row>
    <row r="348" spans="1:21" x14ac:dyDescent="0.25">
      <c r="A348" s="95" t="s">
        <v>440</v>
      </c>
      <c r="B348" s="96">
        <v>46192</v>
      </c>
      <c r="C348" s="95" t="s">
        <v>58</v>
      </c>
      <c r="D348" s="95" t="s">
        <v>40</v>
      </c>
      <c r="E348" s="95" t="s">
        <v>60</v>
      </c>
      <c r="F348" s="97">
        <v>0.29166666666666669</v>
      </c>
      <c r="G348" s="98">
        <v>975</v>
      </c>
      <c r="H348" s="98">
        <v>992.5</v>
      </c>
      <c r="I348" s="98">
        <v>962.72500000000002</v>
      </c>
      <c r="J348" s="98">
        <v>1022.275</v>
      </c>
      <c r="K348" s="99"/>
      <c r="L348" s="95" t="s">
        <v>45</v>
      </c>
      <c r="M348" s="95" t="s">
        <v>45</v>
      </c>
      <c r="N348" s="95" t="s">
        <v>45</v>
      </c>
      <c r="O348" s="95" t="s">
        <v>45</v>
      </c>
      <c r="P348" s="95" t="s">
        <v>45</v>
      </c>
      <c r="T348">
        <f>IF($E348="","",COUNTIF($E$2:$E348,$E348))</f>
        <v>132</v>
      </c>
      <c r="U348" t="str">
        <f t="shared" si="5"/>
        <v>CERVICALES|132</v>
      </c>
    </row>
    <row r="349" spans="1:21" x14ac:dyDescent="0.25">
      <c r="A349" s="95" t="s">
        <v>441</v>
      </c>
      <c r="B349" s="96">
        <v>46192</v>
      </c>
      <c r="C349" s="95" t="s">
        <v>58</v>
      </c>
      <c r="D349" s="95" t="s">
        <v>40</v>
      </c>
      <c r="E349" s="95" t="s">
        <v>60</v>
      </c>
      <c r="F349" s="97">
        <v>0.375</v>
      </c>
      <c r="G349" s="98">
        <v>975</v>
      </c>
      <c r="H349" s="98">
        <v>992.5</v>
      </c>
      <c r="I349" s="98">
        <v>962.72500000000002</v>
      </c>
      <c r="J349" s="98">
        <v>1022.275</v>
      </c>
      <c r="K349" s="99"/>
      <c r="L349" s="95" t="s">
        <v>45</v>
      </c>
      <c r="M349" s="95" t="s">
        <v>45</v>
      </c>
      <c r="N349" s="95" t="s">
        <v>45</v>
      </c>
      <c r="O349" s="95" t="s">
        <v>45</v>
      </c>
      <c r="P349" s="95" t="s">
        <v>45</v>
      </c>
      <c r="T349">
        <f>IF($E349="","",COUNTIF($E$2:$E349,$E349))</f>
        <v>133</v>
      </c>
      <c r="U349" t="str">
        <f t="shared" si="5"/>
        <v>CERVICALES|133</v>
      </c>
    </row>
    <row r="350" spans="1:21" x14ac:dyDescent="0.25">
      <c r="A350" s="95" t="s">
        <v>442</v>
      </c>
      <c r="B350" s="96">
        <v>46192</v>
      </c>
      <c r="C350" s="95" t="s">
        <v>58</v>
      </c>
      <c r="D350" s="95" t="s">
        <v>40</v>
      </c>
      <c r="E350" s="95" t="s">
        <v>7</v>
      </c>
      <c r="F350" s="97">
        <v>0.375</v>
      </c>
      <c r="G350" s="98">
        <v>990</v>
      </c>
      <c r="H350" s="98">
        <v>1010</v>
      </c>
      <c r="I350" s="98">
        <v>979.69999999999993</v>
      </c>
      <c r="J350" s="98">
        <v>1040.3</v>
      </c>
      <c r="K350" s="99"/>
      <c r="L350" s="95" t="s">
        <v>45</v>
      </c>
      <c r="M350" s="95" t="s">
        <v>45</v>
      </c>
      <c r="N350" s="95" t="s">
        <v>45</v>
      </c>
      <c r="O350" s="95" t="s">
        <v>45</v>
      </c>
      <c r="P350" s="95" t="s">
        <v>45</v>
      </c>
      <c r="T350">
        <f>IF($E350="","",COUNTIF($E$2:$E350,$E350))</f>
        <v>156</v>
      </c>
      <c r="U350" t="str">
        <f t="shared" si="5"/>
        <v>CLÁSICAS|156</v>
      </c>
    </row>
    <row r="351" spans="1:21" x14ac:dyDescent="0.25">
      <c r="A351" s="95" t="s">
        <v>443</v>
      </c>
      <c r="B351" s="96">
        <v>46192</v>
      </c>
      <c r="C351" s="95" t="s">
        <v>104</v>
      </c>
      <c r="D351" s="95" t="s">
        <v>40</v>
      </c>
      <c r="E351" s="95" t="s">
        <v>7</v>
      </c>
      <c r="F351" s="97">
        <v>0.41666666666666669</v>
      </c>
      <c r="G351" s="98">
        <v>990</v>
      </c>
      <c r="H351" s="98">
        <v>1010</v>
      </c>
      <c r="I351" s="98">
        <v>979.69999999999993</v>
      </c>
      <c r="J351" s="98">
        <v>1040.3</v>
      </c>
      <c r="K351" s="99"/>
      <c r="L351" s="95" t="s">
        <v>45</v>
      </c>
      <c r="M351" s="95" t="s">
        <v>45</v>
      </c>
      <c r="N351" s="95" t="s">
        <v>45</v>
      </c>
      <c r="O351" s="95" t="s">
        <v>45</v>
      </c>
      <c r="P351" s="95" t="s">
        <v>45</v>
      </c>
      <c r="T351">
        <f>IF($E351="","",COUNTIF($E$2:$E351,$E351))</f>
        <v>157</v>
      </c>
      <c r="U351" t="str">
        <f t="shared" si="5"/>
        <v>CLÁSICAS|157</v>
      </c>
    </row>
    <row r="352" spans="1:21" x14ac:dyDescent="0.25">
      <c r="A352" s="95" t="s">
        <v>444</v>
      </c>
      <c r="B352" s="96">
        <v>46192</v>
      </c>
      <c r="C352" s="95" t="s">
        <v>104</v>
      </c>
      <c r="D352" s="95" t="s">
        <v>40</v>
      </c>
      <c r="E352" s="95" t="s">
        <v>60</v>
      </c>
      <c r="F352" s="97">
        <v>0.41666666666666669</v>
      </c>
      <c r="G352" s="98">
        <v>990</v>
      </c>
      <c r="H352" s="98">
        <v>992.5</v>
      </c>
      <c r="I352" s="98">
        <v>962.72500000000002</v>
      </c>
      <c r="J352" s="98">
        <v>1022.275</v>
      </c>
      <c r="K352" s="99"/>
      <c r="L352" s="95" t="s">
        <v>45</v>
      </c>
      <c r="M352" s="95" t="s">
        <v>45</v>
      </c>
      <c r="N352" s="95" t="s">
        <v>45</v>
      </c>
      <c r="O352" s="95" t="s">
        <v>45</v>
      </c>
      <c r="P352" s="95" t="s">
        <v>45</v>
      </c>
      <c r="T352">
        <f>IF($E352="","",COUNTIF($E$2:$E352,$E352))</f>
        <v>134</v>
      </c>
      <c r="U352" t="str">
        <f t="shared" si="5"/>
        <v>CERVICALES|134</v>
      </c>
    </row>
    <row r="353" spans="1:21" x14ac:dyDescent="0.25">
      <c r="A353" s="95" t="s">
        <v>445</v>
      </c>
      <c r="B353" s="96">
        <v>46192</v>
      </c>
      <c r="C353" s="95" t="s">
        <v>104</v>
      </c>
      <c r="D353" s="95" t="s">
        <v>40</v>
      </c>
      <c r="E353" s="95" t="s">
        <v>60</v>
      </c>
      <c r="F353" s="97">
        <v>0.45833333333333331</v>
      </c>
      <c r="G353" s="98">
        <v>990</v>
      </c>
      <c r="H353" s="98">
        <v>992.5</v>
      </c>
      <c r="I353" s="98">
        <v>962.72500000000002</v>
      </c>
      <c r="J353" s="98">
        <v>1022.275</v>
      </c>
      <c r="K353" s="99"/>
      <c r="L353" s="95" t="s">
        <v>45</v>
      </c>
      <c r="M353" s="95" t="s">
        <v>45</v>
      </c>
      <c r="N353" s="95" t="s">
        <v>45</v>
      </c>
      <c r="O353" s="95" t="s">
        <v>45</v>
      </c>
      <c r="P353" s="95" t="s">
        <v>45</v>
      </c>
      <c r="T353">
        <f>IF($E353="","",COUNTIF($E$2:$E353,$E353))</f>
        <v>135</v>
      </c>
      <c r="U353" t="str">
        <f t="shared" si="5"/>
        <v>CERVICALES|135</v>
      </c>
    </row>
    <row r="354" spans="1:21" x14ac:dyDescent="0.25">
      <c r="A354" s="95" t="s">
        <v>446</v>
      </c>
      <c r="B354" s="96">
        <v>46192</v>
      </c>
      <c r="C354" s="95" t="s">
        <v>104</v>
      </c>
      <c r="D354" s="95" t="s">
        <v>40</v>
      </c>
      <c r="E354" s="95" t="s">
        <v>7</v>
      </c>
      <c r="F354" s="97">
        <v>0.45833333333333331</v>
      </c>
      <c r="G354" s="98">
        <v>990</v>
      </c>
      <c r="H354" s="98">
        <v>1010</v>
      </c>
      <c r="I354" s="98">
        <v>979.69999999999993</v>
      </c>
      <c r="J354" s="98">
        <v>1040.3</v>
      </c>
      <c r="K354" s="99"/>
      <c r="L354" s="95" t="s">
        <v>45</v>
      </c>
      <c r="M354" s="95" t="s">
        <v>45</v>
      </c>
      <c r="N354" s="95" t="s">
        <v>45</v>
      </c>
      <c r="O354" s="95" t="s">
        <v>45</v>
      </c>
      <c r="P354" s="95" t="s">
        <v>45</v>
      </c>
      <c r="T354">
        <f>IF($E354="","",COUNTIF($E$2:$E354,$E354))</f>
        <v>158</v>
      </c>
      <c r="U354" t="str">
        <f t="shared" si="5"/>
        <v>CLÁSICAS|158</v>
      </c>
    </row>
    <row r="355" spans="1:21" x14ac:dyDescent="0.25">
      <c r="A355" s="95" t="s">
        <v>447</v>
      </c>
      <c r="B355" s="96">
        <v>46195</v>
      </c>
      <c r="C355" s="95" t="s">
        <v>58</v>
      </c>
      <c r="D355" s="95" t="s">
        <v>40</v>
      </c>
      <c r="E355" s="95" t="s">
        <v>7</v>
      </c>
      <c r="F355" s="97">
        <v>0.25</v>
      </c>
      <c r="G355" s="98">
        <v>990</v>
      </c>
      <c r="H355" s="98">
        <v>1010</v>
      </c>
      <c r="I355" s="98">
        <v>979.69999999999993</v>
      </c>
      <c r="J355" s="98">
        <v>1040.3</v>
      </c>
      <c r="K355" s="99"/>
      <c r="L355" s="95" t="s">
        <v>45</v>
      </c>
      <c r="M355" s="95" t="s">
        <v>45</v>
      </c>
      <c r="N355" s="95" t="s">
        <v>45</v>
      </c>
      <c r="O355" s="95" t="s">
        <v>45</v>
      </c>
      <c r="P355" s="95" t="s">
        <v>45</v>
      </c>
      <c r="T355">
        <f>IF($E355="","",COUNTIF($E$2:$E355,$E355))</f>
        <v>159</v>
      </c>
      <c r="U355" t="str">
        <f t="shared" si="5"/>
        <v>CLÁSICAS|159</v>
      </c>
    </row>
    <row r="356" spans="1:21" x14ac:dyDescent="0.25">
      <c r="A356" s="95" t="s">
        <v>448</v>
      </c>
      <c r="B356" s="96">
        <v>46195</v>
      </c>
      <c r="C356" s="95" t="s">
        <v>58</v>
      </c>
      <c r="D356" s="95" t="s">
        <v>40</v>
      </c>
      <c r="E356" s="95" t="s">
        <v>60</v>
      </c>
      <c r="F356" s="97">
        <v>0.25</v>
      </c>
      <c r="G356" s="98">
        <v>975</v>
      </c>
      <c r="H356" s="98">
        <v>992.5</v>
      </c>
      <c r="I356" s="98">
        <v>962.72500000000002</v>
      </c>
      <c r="J356" s="98">
        <v>1022.275</v>
      </c>
      <c r="K356" s="99"/>
      <c r="L356" s="95" t="s">
        <v>45</v>
      </c>
      <c r="M356" s="95" t="s">
        <v>45</v>
      </c>
      <c r="N356" s="95" t="s">
        <v>45</v>
      </c>
      <c r="O356" s="95" t="s">
        <v>45</v>
      </c>
      <c r="P356" s="95" t="s">
        <v>45</v>
      </c>
      <c r="T356">
        <f>IF($E356="","",COUNTIF($E$2:$E356,$E356))</f>
        <v>136</v>
      </c>
      <c r="U356" t="str">
        <f t="shared" si="5"/>
        <v>CERVICALES|136</v>
      </c>
    </row>
    <row r="357" spans="1:21" x14ac:dyDescent="0.25">
      <c r="A357" s="95" t="s">
        <v>449</v>
      </c>
      <c r="B357" s="96">
        <v>46195</v>
      </c>
      <c r="C357" s="95" t="s">
        <v>58</v>
      </c>
      <c r="D357" s="95" t="s">
        <v>40</v>
      </c>
      <c r="E357" s="95" t="s">
        <v>60</v>
      </c>
      <c r="F357" s="97">
        <v>0.29166666666666669</v>
      </c>
      <c r="G357" s="98">
        <v>975</v>
      </c>
      <c r="H357" s="98">
        <v>992.5</v>
      </c>
      <c r="I357" s="98">
        <v>962.72500000000002</v>
      </c>
      <c r="J357" s="98">
        <v>1022.275</v>
      </c>
      <c r="K357" s="99"/>
      <c r="L357" s="95" t="s">
        <v>45</v>
      </c>
      <c r="M357" s="95" t="s">
        <v>45</v>
      </c>
      <c r="N357" s="95" t="s">
        <v>45</v>
      </c>
      <c r="O357" s="95" t="s">
        <v>45</v>
      </c>
      <c r="P357" s="95" t="s">
        <v>45</v>
      </c>
      <c r="T357">
        <f>IF($E357="","",COUNTIF($E$2:$E357,$E357))</f>
        <v>137</v>
      </c>
      <c r="U357" t="str">
        <f t="shared" si="5"/>
        <v>CERVICALES|137</v>
      </c>
    </row>
    <row r="358" spans="1:21" x14ac:dyDescent="0.25">
      <c r="A358" s="95" t="s">
        <v>450</v>
      </c>
      <c r="B358" s="96">
        <v>46195</v>
      </c>
      <c r="C358" s="95" t="s">
        <v>58</v>
      </c>
      <c r="D358" s="95" t="s">
        <v>40</v>
      </c>
      <c r="E358" s="95" t="s">
        <v>7</v>
      </c>
      <c r="F358" s="97">
        <v>0.29166666666666669</v>
      </c>
      <c r="G358" s="98">
        <v>990</v>
      </c>
      <c r="H358" s="98">
        <v>1010</v>
      </c>
      <c r="I358" s="98">
        <v>979.69999999999993</v>
      </c>
      <c r="J358" s="98">
        <v>1040.3</v>
      </c>
      <c r="K358" s="99"/>
      <c r="L358" s="95" t="s">
        <v>45</v>
      </c>
      <c r="M358" s="95" t="s">
        <v>45</v>
      </c>
      <c r="N358" s="95" t="s">
        <v>45</v>
      </c>
      <c r="O358" s="95" t="s">
        <v>45</v>
      </c>
      <c r="P358" s="95" t="s">
        <v>45</v>
      </c>
      <c r="T358">
        <f>IF($E358="","",COUNTIF($E$2:$E358,$E358))</f>
        <v>160</v>
      </c>
      <c r="U358" t="str">
        <f t="shared" si="5"/>
        <v>CLÁSICAS|160</v>
      </c>
    </row>
    <row r="359" spans="1:21" x14ac:dyDescent="0.25">
      <c r="A359" s="95" t="s">
        <v>451</v>
      </c>
      <c r="B359" s="96">
        <v>46195</v>
      </c>
      <c r="C359" s="95" t="s">
        <v>58</v>
      </c>
      <c r="D359" s="95" t="s">
        <v>40</v>
      </c>
      <c r="E359" s="95" t="s">
        <v>7</v>
      </c>
      <c r="F359" s="97">
        <v>0.33333333333333331</v>
      </c>
      <c r="G359" s="98">
        <v>990</v>
      </c>
      <c r="H359" s="98">
        <v>1010</v>
      </c>
      <c r="I359" s="98">
        <v>979.69999999999993</v>
      </c>
      <c r="J359" s="98">
        <v>1040.3</v>
      </c>
      <c r="K359" s="99"/>
      <c r="L359" s="95" t="s">
        <v>45</v>
      </c>
      <c r="M359" s="95" t="s">
        <v>45</v>
      </c>
      <c r="N359" s="95" t="s">
        <v>45</v>
      </c>
      <c r="O359" s="95" t="s">
        <v>45</v>
      </c>
      <c r="P359" s="95" t="s">
        <v>45</v>
      </c>
      <c r="T359">
        <f>IF($E359="","",COUNTIF($E$2:$E359,$E359))</f>
        <v>161</v>
      </c>
      <c r="U359" t="str">
        <f t="shared" si="5"/>
        <v>CLÁSICAS|161</v>
      </c>
    </row>
    <row r="360" spans="1:21" x14ac:dyDescent="0.25">
      <c r="A360" s="95" t="s">
        <v>452</v>
      </c>
      <c r="B360" s="96">
        <v>46195</v>
      </c>
      <c r="C360" s="95" t="s">
        <v>58</v>
      </c>
      <c r="D360" s="95" t="s">
        <v>40</v>
      </c>
      <c r="E360" s="95" t="s">
        <v>60</v>
      </c>
      <c r="F360" s="97">
        <v>0.33333333333333331</v>
      </c>
      <c r="G360" s="98">
        <v>975</v>
      </c>
      <c r="H360" s="98">
        <v>992.5</v>
      </c>
      <c r="I360" s="98">
        <v>962.72500000000002</v>
      </c>
      <c r="J360" s="98">
        <v>1022.275</v>
      </c>
      <c r="K360" s="99"/>
      <c r="L360" s="95" t="s">
        <v>45</v>
      </c>
      <c r="M360" s="95" t="s">
        <v>45</v>
      </c>
      <c r="N360" s="95" t="s">
        <v>45</v>
      </c>
      <c r="O360" s="95" t="s">
        <v>45</v>
      </c>
      <c r="P360" s="95" t="s">
        <v>45</v>
      </c>
      <c r="T360">
        <f>IF($E360="","",COUNTIF($E$2:$E360,$E360))</f>
        <v>138</v>
      </c>
      <c r="U360" t="str">
        <f t="shared" si="5"/>
        <v>CERVICALES|138</v>
      </c>
    </row>
    <row r="361" spans="1:21" x14ac:dyDescent="0.25">
      <c r="A361" s="95" t="s">
        <v>453</v>
      </c>
      <c r="B361" s="96">
        <v>46195</v>
      </c>
      <c r="C361" s="95" t="s">
        <v>58</v>
      </c>
      <c r="D361" s="95" t="s">
        <v>40</v>
      </c>
      <c r="E361" s="95" t="s">
        <v>185</v>
      </c>
      <c r="F361" s="97">
        <v>0.33333333333333331</v>
      </c>
      <c r="G361" s="98">
        <v>740</v>
      </c>
      <c r="H361" s="98">
        <v>750</v>
      </c>
      <c r="I361" s="98">
        <v>727.5</v>
      </c>
      <c r="J361" s="98">
        <v>772.5</v>
      </c>
      <c r="K361" s="99"/>
      <c r="L361" s="95" t="s">
        <v>45</v>
      </c>
      <c r="M361" s="95" t="s">
        <v>45</v>
      </c>
      <c r="N361" s="95" t="s">
        <v>45</v>
      </c>
      <c r="O361" s="95" t="s">
        <v>45</v>
      </c>
      <c r="P361" s="95" t="s">
        <v>45</v>
      </c>
      <c r="T361">
        <f>IF($E361="","",COUNTIF($E$2:$E361,$E361))</f>
        <v>29</v>
      </c>
      <c r="U361" t="str">
        <f t="shared" si="5"/>
        <v>PROMOS|29</v>
      </c>
    </row>
    <row r="362" spans="1:21" x14ac:dyDescent="0.25">
      <c r="A362" s="95" t="s">
        <v>454</v>
      </c>
      <c r="B362" s="96">
        <v>46195</v>
      </c>
      <c r="C362" s="95" t="s">
        <v>104</v>
      </c>
      <c r="D362" s="95" t="s">
        <v>40</v>
      </c>
      <c r="E362" s="95" t="s">
        <v>185</v>
      </c>
      <c r="F362" s="97">
        <v>0.41666666666666669</v>
      </c>
      <c r="G362" s="98">
        <v>740</v>
      </c>
      <c r="H362" s="98">
        <v>750</v>
      </c>
      <c r="I362" s="98">
        <v>727.5</v>
      </c>
      <c r="J362" s="98">
        <v>772.5</v>
      </c>
      <c r="K362" s="99"/>
      <c r="L362" s="95" t="s">
        <v>45</v>
      </c>
      <c r="M362" s="95" t="s">
        <v>45</v>
      </c>
      <c r="N362" s="95" t="s">
        <v>45</v>
      </c>
      <c r="O362" s="95" t="s">
        <v>45</v>
      </c>
      <c r="P362" s="95" t="s">
        <v>45</v>
      </c>
      <c r="T362">
        <f>IF($E362="","",COUNTIF($E$2:$E362,$E362))</f>
        <v>30</v>
      </c>
      <c r="U362" t="str">
        <f t="shared" si="5"/>
        <v>PROMOS|30</v>
      </c>
    </row>
    <row r="363" spans="1:21" x14ac:dyDescent="0.25">
      <c r="A363" s="95" t="s">
        <v>455</v>
      </c>
      <c r="B363" s="96">
        <v>46195</v>
      </c>
      <c r="C363" s="95" t="s">
        <v>104</v>
      </c>
      <c r="D363" s="95" t="s">
        <v>40</v>
      </c>
      <c r="E363" s="95" t="s">
        <v>185</v>
      </c>
      <c r="F363" s="97">
        <v>0.45833333333333331</v>
      </c>
      <c r="G363" s="98">
        <v>740</v>
      </c>
      <c r="H363" s="98">
        <v>750</v>
      </c>
      <c r="I363" s="98">
        <v>727.5</v>
      </c>
      <c r="J363" s="98">
        <v>772.5</v>
      </c>
      <c r="K363" s="99"/>
      <c r="L363" s="95" t="s">
        <v>45</v>
      </c>
      <c r="M363" s="95" t="s">
        <v>45</v>
      </c>
      <c r="N363" s="95" t="s">
        <v>45</v>
      </c>
      <c r="O363" s="95" t="s">
        <v>45</v>
      </c>
      <c r="P363" s="95" t="s">
        <v>45</v>
      </c>
      <c r="T363">
        <f>IF($E363="","",COUNTIF($E$2:$E363,$E363))</f>
        <v>31</v>
      </c>
      <c r="U363" t="str">
        <f t="shared" si="5"/>
        <v>PROMOS|31</v>
      </c>
    </row>
    <row r="364" spans="1:21" x14ac:dyDescent="0.25">
      <c r="A364" s="95" t="s">
        <v>456</v>
      </c>
      <c r="B364" s="96">
        <v>46195</v>
      </c>
      <c r="C364" s="95" t="s">
        <v>104</v>
      </c>
      <c r="D364" s="95" t="s">
        <v>40</v>
      </c>
      <c r="E364" s="95" t="s">
        <v>185</v>
      </c>
      <c r="F364" s="97">
        <v>0.5</v>
      </c>
      <c r="G364" s="98">
        <v>740</v>
      </c>
      <c r="H364" s="98">
        <v>750</v>
      </c>
      <c r="I364" s="98">
        <v>727.5</v>
      </c>
      <c r="J364" s="98">
        <v>772.5</v>
      </c>
      <c r="K364" s="99"/>
      <c r="L364" s="95" t="s">
        <v>45</v>
      </c>
      <c r="M364" s="95" t="s">
        <v>45</v>
      </c>
      <c r="N364" s="95" t="s">
        <v>45</v>
      </c>
      <c r="O364" s="95" t="s">
        <v>45</v>
      </c>
      <c r="P364" s="95" t="s">
        <v>45</v>
      </c>
      <c r="T364">
        <f>IF($E364="","",COUNTIF($E$2:$E364,$E364))</f>
        <v>32</v>
      </c>
      <c r="U364" t="str">
        <f t="shared" si="5"/>
        <v>PROMOS|32</v>
      </c>
    </row>
    <row r="365" spans="1:21" x14ac:dyDescent="0.25">
      <c r="A365" s="95" t="s">
        <v>457</v>
      </c>
      <c r="B365" s="96">
        <v>46196</v>
      </c>
      <c r="C365" s="95" t="s">
        <v>104</v>
      </c>
      <c r="D365" s="95" t="s">
        <v>40</v>
      </c>
      <c r="E365" s="95" t="s">
        <v>7</v>
      </c>
      <c r="F365" s="97">
        <v>0.375</v>
      </c>
      <c r="G365" s="98">
        <v>995</v>
      </c>
      <c r="H365" s="98">
        <v>1010</v>
      </c>
      <c r="I365" s="98">
        <v>979.69999999999993</v>
      </c>
      <c r="J365" s="98">
        <v>1040.3</v>
      </c>
      <c r="K365" s="99"/>
      <c r="L365" s="95" t="s">
        <v>45</v>
      </c>
      <c r="M365" s="95" t="s">
        <v>45</v>
      </c>
      <c r="N365" s="95" t="s">
        <v>45</v>
      </c>
      <c r="O365" s="95" t="s">
        <v>45</v>
      </c>
      <c r="P365" s="95" t="s">
        <v>45</v>
      </c>
      <c r="T365">
        <f>IF($E365="","",COUNTIF($E$2:$E365,$E365))</f>
        <v>162</v>
      </c>
      <c r="U365" t="str">
        <f t="shared" si="5"/>
        <v>CLÁSICAS|162</v>
      </c>
    </row>
    <row r="366" spans="1:21" x14ac:dyDescent="0.25">
      <c r="A366" s="95" t="s">
        <v>458</v>
      </c>
      <c r="B366" s="96">
        <v>46196</v>
      </c>
      <c r="C366" s="95" t="s">
        <v>104</v>
      </c>
      <c r="D366" s="95" t="s">
        <v>40</v>
      </c>
      <c r="E366" s="95" t="s">
        <v>60</v>
      </c>
      <c r="F366" s="97">
        <v>0.375</v>
      </c>
      <c r="G366" s="98">
        <v>975</v>
      </c>
      <c r="H366" s="98">
        <v>992.5</v>
      </c>
      <c r="I366" s="98">
        <v>962.72500000000002</v>
      </c>
      <c r="J366" s="98">
        <v>1022.275</v>
      </c>
      <c r="K366" s="99"/>
      <c r="L366" s="95" t="s">
        <v>45</v>
      </c>
      <c r="M366" s="95" t="s">
        <v>45</v>
      </c>
      <c r="N366" s="95" t="s">
        <v>45</v>
      </c>
      <c r="O366" s="95" t="s">
        <v>45</v>
      </c>
      <c r="P366" s="95" t="s">
        <v>45</v>
      </c>
      <c r="T366">
        <f>IF($E366="","",COUNTIF($E$2:$E366,$E366))</f>
        <v>139</v>
      </c>
      <c r="U366" t="str">
        <f t="shared" si="5"/>
        <v>CERVICALES|139</v>
      </c>
    </row>
    <row r="367" spans="1:21" x14ac:dyDescent="0.25">
      <c r="A367" s="95" t="s">
        <v>459</v>
      </c>
      <c r="B367" s="96">
        <v>46196</v>
      </c>
      <c r="C367" s="95" t="s">
        <v>104</v>
      </c>
      <c r="D367" s="95" t="s">
        <v>40</v>
      </c>
      <c r="E367" s="95" t="s">
        <v>60</v>
      </c>
      <c r="F367" s="97">
        <v>0.41666666666666669</v>
      </c>
      <c r="G367" s="98">
        <v>975</v>
      </c>
      <c r="H367" s="98">
        <v>992.5</v>
      </c>
      <c r="I367" s="98">
        <v>962.72500000000002</v>
      </c>
      <c r="J367" s="98">
        <v>1022.275</v>
      </c>
      <c r="K367" s="99"/>
      <c r="L367" s="95" t="s">
        <v>45</v>
      </c>
      <c r="M367" s="95" t="s">
        <v>45</v>
      </c>
      <c r="N367" s="95" t="s">
        <v>45</v>
      </c>
      <c r="O367" s="95" t="s">
        <v>45</v>
      </c>
      <c r="P367" s="95" t="s">
        <v>45</v>
      </c>
      <c r="T367">
        <f>IF($E367="","",COUNTIF($E$2:$E367,$E367))</f>
        <v>140</v>
      </c>
      <c r="U367" t="str">
        <f t="shared" si="5"/>
        <v>CERVICALES|140</v>
      </c>
    </row>
    <row r="368" spans="1:21" x14ac:dyDescent="0.25">
      <c r="A368" s="95" t="s">
        <v>460</v>
      </c>
      <c r="B368" s="96">
        <v>46196</v>
      </c>
      <c r="C368" s="95" t="s">
        <v>104</v>
      </c>
      <c r="D368" s="95" t="s">
        <v>40</v>
      </c>
      <c r="E368" s="95" t="s">
        <v>7</v>
      </c>
      <c r="F368" s="97">
        <v>0.41666666666666669</v>
      </c>
      <c r="G368" s="98">
        <v>975</v>
      </c>
      <c r="H368" s="98">
        <v>1010</v>
      </c>
      <c r="I368" s="98">
        <v>979.69999999999993</v>
      </c>
      <c r="J368" s="98">
        <v>1040.3</v>
      </c>
      <c r="K368" s="99"/>
      <c r="L368" s="95" t="s">
        <v>45</v>
      </c>
      <c r="M368" s="95" t="s">
        <v>45</v>
      </c>
      <c r="N368" s="95" t="s">
        <v>45</v>
      </c>
      <c r="O368" s="95" t="s">
        <v>45</v>
      </c>
      <c r="P368" s="95" t="s">
        <v>45</v>
      </c>
      <c r="T368">
        <f>IF($E368="","",COUNTIF($E$2:$E368,$E368))</f>
        <v>163</v>
      </c>
      <c r="U368" t="str">
        <f t="shared" si="5"/>
        <v>CLÁSICAS|163</v>
      </c>
    </row>
    <row r="369" spans="1:21" x14ac:dyDescent="0.25">
      <c r="A369" s="95" t="s">
        <v>461</v>
      </c>
      <c r="B369" s="96">
        <v>46196</v>
      </c>
      <c r="C369" s="95" t="s">
        <v>104</v>
      </c>
      <c r="D369" s="95" t="s">
        <v>40</v>
      </c>
      <c r="E369" s="95" t="s">
        <v>7</v>
      </c>
      <c r="F369" s="97">
        <v>0.45833333333333331</v>
      </c>
      <c r="G369" s="98">
        <v>985</v>
      </c>
      <c r="H369" s="98">
        <v>1010</v>
      </c>
      <c r="I369" s="98">
        <v>979.69999999999993</v>
      </c>
      <c r="J369" s="98">
        <v>1040.3</v>
      </c>
      <c r="K369" s="99"/>
      <c r="L369" s="95" t="s">
        <v>45</v>
      </c>
      <c r="M369" s="95" t="s">
        <v>45</v>
      </c>
      <c r="N369" s="95" t="s">
        <v>45</v>
      </c>
      <c r="O369" s="95" t="s">
        <v>45</v>
      </c>
      <c r="P369" s="95" t="s">
        <v>45</v>
      </c>
      <c r="T369">
        <f>IF($E369="","",COUNTIF($E$2:$E369,$E369))</f>
        <v>164</v>
      </c>
      <c r="U369" t="str">
        <f t="shared" si="5"/>
        <v>CLÁSICAS|164</v>
      </c>
    </row>
    <row r="370" spans="1:21" x14ac:dyDescent="0.25">
      <c r="A370" s="95" t="s">
        <v>462</v>
      </c>
      <c r="B370" s="96">
        <v>46196</v>
      </c>
      <c r="C370" s="95" t="s">
        <v>104</v>
      </c>
      <c r="D370" s="95" t="s">
        <v>40</v>
      </c>
      <c r="E370" s="95" t="s">
        <v>60</v>
      </c>
      <c r="F370" s="97">
        <v>0.45833333333333331</v>
      </c>
      <c r="G370" s="98">
        <v>975</v>
      </c>
      <c r="H370" s="98">
        <v>992.5</v>
      </c>
      <c r="I370" s="98">
        <v>962.72500000000002</v>
      </c>
      <c r="J370" s="98">
        <v>1022.275</v>
      </c>
      <c r="K370" s="99"/>
      <c r="L370" s="95" t="s">
        <v>45</v>
      </c>
      <c r="M370" s="95" t="s">
        <v>45</v>
      </c>
      <c r="N370" s="95" t="s">
        <v>45</v>
      </c>
      <c r="O370" s="95" t="s">
        <v>45</v>
      </c>
      <c r="P370" s="95" t="s">
        <v>45</v>
      </c>
      <c r="T370">
        <f>IF($E370="","",COUNTIF($E$2:$E370,$E370))</f>
        <v>141</v>
      </c>
      <c r="U370" t="str">
        <f t="shared" si="5"/>
        <v>CERVICALES|141</v>
      </c>
    </row>
    <row r="371" spans="1:21" x14ac:dyDescent="0.25">
      <c r="A371" s="95" t="s">
        <v>463</v>
      </c>
      <c r="B371" s="96">
        <v>46196</v>
      </c>
      <c r="C371" s="95" t="s">
        <v>104</v>
      </c>
      <c r="D371" s="95" t="s">
        <v>40</v>
      </c>
      <c r="E371" s="95" t="s">
        <v>60</v>
      </c>
      <c r="F371" s="97">
        <v>0.5</v>
      </c>
      <c r="G371" s="98">
        <v>975</v>
      </c>
      <c r="H371" s="98">
        <v>992.5</v>
      </c>
      <c r="I371" s="98">
        <v>962.72500000000002</v>
      </c>
      <c r="J371" s="98">
        <v>1022.275</v>
      </c>
      <c r="K371" s="99"/>
      <c r="L371" s="95" t="s">
        <v>45</v>
      </c>
      <c r="M371" s="95" t="s">
        <v>45</v>
      </c>
      <c r="N371" s="95" t="s">
        <v>45</v>
      </c>
      <c r="O371" s="95" t="s">
        <v>45</v>
      </c>
      <c r="P371" s="95" t="s">
        <v>45</v>
      </c>
      <c r="T371">
        <f>IF($E371="","",COUNTIF($E$2:$E371,$E371))</f>
        <v>142</v>
      </c>
      <c r="U371" t="str">
        <f t="shared" si="5"/>
        <v>CERVICALES|142</v>
      </c>
    </row>
    <row r="372" spans="1:21" x14ac:dyDescent="0.25">
      <c r="A372" s="95" t="s">
        <v>464</v>
      </c>
      <c r="B372" s="96">
        <v>46196</v>
      </c>
      <c r="C372" s="95" t="s">
        <v>104</v>
      </c>
      <c r="D372" s="95" t="s">
        <v>40</v>
      </c>
      <c r="E372" s="95" t="s">
        <v>7</v>
      </c>
      <c r="F372" s="97">
        <v>0.5</v>
      </c>
      <c r="G372" s="98">
        <v>990</v>
      </c>
      <c r="H372" s="98">
        <v>1010</v>
      </c>
      <c r="I372" s="98">
        <v>979.69999999999993</v>
      </c>
      <c r="J372" s="98">
        <v>1040.3</v>
      </c>
      <c r="K372" s="99"/>
      <c r="L372" s="95" t="s">
        <v>45</v>
      </c>
      <c r="M372" s="95" t="s">
        <v>45</v>
      </c>
      <c r="N372" s="95" t="s">
        <v>45</v>
      </c>
      <c r="O372" s="95" t="s">
        <v>45</v>
      </c>
      <c r="P372" s="95" t="s">
        <v>45</v>
      </c>
      <c r="T372">
        <f>IF($E372="","",COUNTIF($E$2:$E372,$E372))</f>
        <v>165</v>
      </c>
      <c r="U372" t="str">
        <f t="shared" si="5"/>
        <v>CLÁSICAS|165</v>
      </c>
    </row>
    <row r="373" spans="1:21" x14ac:dyDescent="0.25">
      <c r="A373" s="95" t="s">
        <v>465</v>
      </c>
      <c r="B373" s="96">
        <v>46197</v>
      </c>
      <c r="C373" s="95" t="s">
        <v>58</v>
      </c>
      <c r="D373" s="95" t="s">
        <v>40</v>
      </c>
      <c r="E373" s="95" t="s">
        <v>7</v>
      </c>
      <c r="F373" s="97">
        <v>0.25</v>
      </c>
      <c r="G373" s="98">
        <v>990</v>
      </c>
      <c r="H373" s="98">
        <v>1010</v>
      </c>
      <c r="I373" s="98">
        <v>979.69999999999993</v>
      </c>
      <c r="J373" s="98">
        <v>1040.3</v>
      </c>
      <c r="K373" s="99"/>
      <c r="L373" s="95" t="s">
        <v>45</v>
      </c>
      <c r="M373" s="95" t="s">
        <v>45</v>
      </c>
      <c r="N373" s="95" t="s">
        <v>45</v>
      </c>
      <c r="O373" s="95" t="s">
        <v>45</v>
      </c>
      <c r="P373" s="95" t="s">
        <v>45</v>
      </c>
      <c r="T373">
        <f>IF($E373="","",COUNTIF($E$2:$E373,$E373))</f>
        <v>166</v>
      </c>
      <c r="U373" t="str">
        <f t="shared" si="5"/>
        <v>CLÁSICAS|166</v>
      </c>
    </row>
    <row r="374" spans="1:21" x14ac:dyDescent="0.25">
      <c r="A374" s="95" t="s">
        <v>466</v>
      </c>
      <c r="B374" s="96">
        <v>46197</v>
      </c>
      <c r="C374" s="95" t="s">
        <v>58</v>
      </c>
      <c r="D374" s="95" t="s">
        <v>40</v>
      </c>
      <c r="E374" s="95" t="s">
        <v>60</v>
      </c>
      <c r="F374" s="97">
        <v>0.25</v>
      </c>
      <c r="G374" s="98">
        <v>975</v>
      </c>
      <c r="H374" s="98">
        <v>992.5</v>
      </c>
      <c r="I374" s="98">
        <v>962.72500000000002</v>
      </c>
      <c r="J374" s="98">
        <v>1022.275</v>
      </c>
      <c r="K374" s="99"/>
      <c r="L374" s="95" t="s">
        <v>45</v>
      </c>
      <c r="M374" s="95" t="s">
        <v>45</v>
      </c>
      <c r="N374" s="95" t="s">
        <v>45</v>
      </c>
      <c r="O374" s="95" t="s">
        <v>45</v>
      </c>
      <c r="P374" s="95" t="s">
        <v>45</v>
      </c>
      <c r="T374">
        <f>IF($E374="","",COUNTIF($E$2:$E374,$E374))</f>
        <v>143</v>
      </c>
      <c r="U374" t="str">
        <f t="shared" si="5"/>
        <v>CERVICALES|143</v>
      </c>
    </row>
    <row r="375" spans="1:21" x14ac:dyDescent="0.25">
      <c r="A375" s="95" t="s">
        <v>467</v>
      </c>
      <c r="B375" s="96">
        <v>46197</v>
      </c>
      <c r="C375" s="95" t="s">
        <v>58</v>
      </c>
      <c r="D375" s="95" t="s">
        <v>40</v>
      </c>
      <c r="E375" s="95" t="s">
        <v>60</v>
      </c>
      <c r="F375" s="97">
        <v>0.29166666666666669</v>
      </c>
      <c r="G375" s="98">
        <v>985</v>
      </c>
      <c r="H375" s="98">
        <v>992.5</v>
      </c>
      <c r="I375" s="98">
        <v>962.72500000000002</v>
      </c>
      <c r="J375" s="98">
        <v>1022.275</v>
      </c>
      <c r="K375" s="99"/>
      <c r="L375" s="95" t="s">
        <v>45</v>
      </c>
      <c r="M375" s="95" t="s">
        <v>45</v>
      </c>
      <c r="N375" s="95" t="s">
        <v>45</v>
      </c>
      <c r="O375" s="95" t="s">
        <v>45</v>
      </c>
      <c r="P375" s="95" t="s">
        <v>45</v>
      </c>
      <c r="T375">
        <f>IF($E375="","",COUNTIF($E$2:$E375,$E375))</f>
        <v>144</v>
      </c>
      <c r="U375" t="str">
        <f t="shared" si="5"/>
        <v>CERVICALES|144</v>
      </c>
    </row>
    <row r="376" spans="1:21" x14ac:dyDescent="0.25">
      <c r="A376" s="95" t="s">
        <v>468</v>
      </c>
      <c r="B376" s="96">
        <v>46197</v>
      </c>
      <c r="C376" s="95" t="s">
        <v>58</v>
      </c>
      <c r="D376" s="95" t="s">
        <v>40</v>
      </c>
      <c r="E376" s="95" t="s">
        <v>60</v>
      </c>
      <c r="F376" s="97">
        <v>0.33333333333333331</v>
      </c>
      <c r="G376" s="98">
        <v>985</v>
      </c>
      <c r="H376" s="98">
        <v>992.5</v>
      </c>
      <c r="I376" s="98">
        <v>962.72500000000002</v>
      </c>
      <c r="J376" s="98">
        <v>1022.275</v>
      </c>
      <c r="K376" s="99"/>
      <c r="L376" s="95" t="s">
        <v>45</v>
      </c>
      <c r="M376" s="95" t="s">
        <v>45</v>
      </c>
      <c r="N376" s="95" t="s">
        <v>45</v>
      </c>
      <c r="O376" s="95" t="s">
        <v>45</v>
      </c>
      <c r="P376" s="95" t="s">
        <v>45</v>
      </c>
      <c r="T376">
        <f>IF($E376="","",COUNTIF($E$2:$E376,$E376))</f>
        <v>145</v>
      </c>
      <c r="U376" t="str">
        <f t="shared" si="5"/>
        <v>CERVICALES|145</v>
      </c>
    </row>
    <row r="377" spans="1:21" x14ac:dyDescent="0.25">
      <c r="A377" s="95" t="s">
        <v>469</v>
      </c>
      <c r="B377" s="96">
        <v>46197</v>
      </c>
      <c r="C377" s="95" t="s">
        <v>58</v>
      </c>
      <c r="D377" s="95" t="s">
        <v>40</v>
      </c>
      <c r="E377" s="95" t="s">
        <v>7</v>
      </c>
      <c r="F377" s="97">
        <v>0.33333333333333331</v>
      </c>
      <c r="G377" s="98">
        <v>980</v>
      </c>
      <c r="H377" s="98">
        <v>1010</v>
      </c>
      <c r="I377" s="98">
        <v>979.69999999999993</v>
      </c>
      <c r="J377" s="98">
        <v>1040.3</v>
      </c>
      <c r="K377" s="99"/>
      <c r="L377" s="95" t="s">
        <v>45</v>
      </c>
      <c r="M377" s="95" t="s">
        <v>45</v>
      </c>
      <c r="N377" s="95" t="s">
        <v>45</v>
      </c>
      <c r="O377" s="95" t="s">
        <v>45</v>
      </c>
      <c r="P377" s="95" t="s">
        <v>45</v>
      </c>
      <c r="T377">
        <f>IF($E377="","",COUNTIF($E$2:$E377,$E377))</f>
        <v>167</v>
      </c>
      <c r="U377" t="str">
        <f t="shared" si="5"/>
        <v>CLÁSICAS|167</v>
      </c>
    </row>
    <row r="378" spans="1:21" x14ac:dyDescent="0.25">
      <c r="A378" s="95" t="s">
        <v>470</v>
      </c>
      <c r="B378" s="96">
        <v>46197</v>
      </c>
      <c r="C378" s="95" t="s">
        <v>58</v>
      </c>
      <c r="D378" s="95" t="s">
        <v>40</v>
      </c>
      <c r="E378" s="95" t="s">
        <v>7</v>
      </c>
      <c r="F378" s="97">
        <v>0.375</v>
      </c>
      <c r="G378" s="98">
        <v>980</v>
      </c>
      <c r="H378" s="98">
        <v>1010</v>
      </c>
      <c r="I378" s="98">
        <v>979.69999999999993</v>
      </c>
      <c r="J378" s="98">
        <v>1040.3</v>
      </c>
      <c r="K378" s="99"/>
      <c r="L378" s="95" t="s">
        <v>45</v>
      </c>
      <c r="M378" s="95" t="s">
        <v>45</v>
      </c>
      <c r="N378" s="95" t="s">
        <v>45</v>
      </c>
      <c r="O378" s="95" t="s">
        <v>45</v>
      </c>
      <c r="P378" s="95" t="s">
        <v>45</v>
      </c>
      <c r="T378">
        <f>IF($E378="","",COUNTIF($E$2:$E378,$E378))</f>
        <v>168</v>
      </c>
      <c r="U378" t="str">
        <f t="shared" si="5"/>
        <v>CLÁSICAS|168</v>
      </c>
    </row>
    <row r="379" spans="1:21" x14ac:dyDescent="0.25">
      <c r="A379" s="95" t="s">
        <v>471</v>
      </c>
      <c r="B379" s="96">
        <v>46197</v>
      </c>
      <c r="C379" s="95" t="s">
        <v>58</v>
      </c>
      <c r="D379" s="95" t="s">
        <v>40</v>
      </c>
      <c r="E379" s="95" t="s">
        <v>60</v>
      </c>
      <c r="F379" s="97">
        <v>0.375</v>
      </c>
      <c r="G379" s="98">
        <v>975</v>
      </c>
      <c r="H379" s="98">
        <v>992.5</v>
      </c>
      <c r="I379" s="98">
        <v>962.72500000000002</v>
      </c>
      <c r="J379" s="98">
        <v>1022.275</v>
      </c>
      <c r="K379" s="99"/>
      <c r="L379" s="95" t="s">
        <v>45</v>
      </c>
      <c r="M379" s="95" t="s">
        <v>45</v>
      </c>
      <c r="N379" s="95" t="s">
        <v>45</v>
      </c>
      <c r="O379" s="95" t="s">
        <v>45</v>
      </c>
      <c r="P379" s="95" t="s">
        <v>45</v>
      </c>
      <c r="T379">
        <f>IF($E379="","",COUNTIF($E$2:$E379,$E379))</f>
        <v>146</v>
      </c>
      <c r="U379" t="str">
        <f t="shared" si="5"/>
        <v>CERVICALES|146</v>
      </c>
    </row>
    <row r="380" spans="1:21" x14ac:dyDescent="0.25">
      <c r="A380" s="95" t="s">
        <v>472</v>
      </c>
      <c r="B380" s="96">
        <v>46197</v>
      </c>
      <c r="C380" s="95" t="s">
        <v>58</v>
      </c>
      <c r="D380" s="95" t="s">
        <v>40</v>
      </c>
      <c r="E380" s="95" t="s">
        <v>60</v>
      </c>
      <c r="F380" s="97">
        <v>0.41666666666666669</v>
      </c>
      <c r="G380" s="98">
        <v>975</v>
      </c>
      <c r="H380" s="98">
        <v>992.5</v>
      </c>
      <c r="I380" s="98">
        <v>962.72500000000002</v>
      </c>
      <c r="J380" s="98">
        <v>1022.275</v>
      </c>
      <c r="K380" s="99"/>
      <c r="L380" s="95" t="s">
        <v>45</v>
      </c>
      <c r="M380" s="95" t="s">
        <v>45</v>
      </c>
      <c r="N380" s="95" t="s">
        <v>45</v>
      </c>
      <c r="O380" s="95" t="s">
        <v>45</v>
      </c>
      <c r="P380" s="95" t="s">
        <v>45</v>
      </c>
      <c r="T380">
        <f>IF($E380="","",COUNTIF($E$2:$E380,$E380))</f>
        <v>147</v>
      </c>
      <c r="U380" t="str">
        <f t="shared" si="5"/>
        <v>CERVICALES|147</v>
      </c>
    </row>
    <row r="381" spans="1:21" x14ac:dyDescent="0.25">
      <c r="A381" s="95" t="s">
        <v>473</v>
      </c>
      <c r="B381" s="96">
        <v>46197</v>
      </c>
      <c r="C381" s="95" t="s">
        <v>58</v>
      </c>
      <c r="D381" s="95" t="s">
        <v>40</v>
      </c>
      <c r="E381" s="95" t="s">
        <v>7</v>
      </c>
      <c r="F381" s="97">
        <v>0.41666666666666669</v>
      </c>
      <c r="G381" s="98">
        <v>985</v>
      </c>
      <c r="H381" s="98">
        <v>1010</v>
      </c>
      <c r="I381" s="98">
        <v>979.69999999999993</v>
      </c>
      <c r="J381" s="98">
        <v>1040.3</v>
      </c>
      <c r="K381" s="99"/>
      <c r="L381" s="95" t="s">
        <v>45</v>
      </c>
      <c r="M381" s="95" t="s">
        <v>45</v>
      </c>
      <c r="N381" s="95" t="s">
        <v>45</v>
      </c>
      <c r="O381" s="95" t="s">
        <v>45</v>
      </c>
      <c r="P381" s="95" t="s">
        <v>45</v>
      </c>
      <c r="T381">
        <f>IF($E381="","",COUNTIF($E$2:$E381,$E381))</f>
        <v>169</v>
      </c>
      <c r="U381" t="str">
        <f t="shared" si="5"/>
        <v>CLÁSICAS|169</v>
      </c>
    </row>
    <row r="382" spans="1:21" x14ac:dyDescent="0.25">
      <c r="A382" s="95" t="s">
        <v>474</v>
      </c>
      <c r="B382" s="96">
        <v>46197</v>
      </c>
      <c r="C382" s="95" t="s">
        <v>58</v>
      </c>
      <c r="D382" s="95" t="s">
        <v>40</v>
      </c>
      <c r="E382" s="95" t="s">
        <v>7</v>
      </c>
      <c r="F382" s="97">
        <v>0.45833333333333331</v>
      </c>
      <c r="G382" s="98">
        <v>985</v>
      </c>
      <c r="H382" s="98">
        <v>1010</v>
      </c>
      <c r="I382" s="98">
        <v>979.69999999999993</v>
      </c>
      <c r="J382" s="98">
        <v>1040.3</v>
      </c>
      <c r="K382" s="99"/>
      <c r="L382" s="95" t="s">
        <v>45</v>
      </c>
      <c r="M382" s="95" t="s">
        <v>45</v>
      </c>
      <c r="N382" s="95" t="s">
        <v>45</v>
      </c>
      <c r="O382" s="95" t="s">
        <v>45</v>
      </c>
      <c r="P382" s="95" t="s">
        <v>45</v>
      </c>
      <c r="T382">
        <f>IF($E382="","",COUNTIF($E$2:$E382,$E382))</f>
        <v>170</v>
      </c>
      <c r="U382" t="str">
        <f t="shared" si="5"/>
        <v>CLÁSICAS|170</v>
      </c>
    </row>
    <row r="383" spans="1:21" x14ac:dyDescent="0.25">
      <c r="A383" s="95" t="s">
        <v>475</v>
      </c>
      <c r="B383" s="96">
        <v>46197</v>
      </c>
      <c r="C383" s="95" t="s">
        <v>58</v>
      </c>
      <c r="D383" s="95" t="s">
        <v>40</v>
      </c>
      <c r="E383" s="95" t="s">
        <v>60</v>
      </c>
      <c r="F383" s="97">
        <v>0.45833333333333331</v>
      </c>
      <c r="G383" s="98">
        <v>975</v>
      </c>
      <c r="H383" s="98">
        <v>992.5</v>
      </c>
      <c r="I383" s="98">
        <v>962.72500000000002</v>
      </c>
      <c r="J383" s="98">
        <v>1022.275</v>
      </c>
      <c r="K383" s="99"/>
      <c r="L383" s="95" t="s">
        <v>45</v>
      </c>
      <c r="M383" s="95" t="s">
        <v>45</v>
      </c>
      <c r="N383" s="95" t="s">
        <v>45</v>
      </c>
      <c r="O383" s="95" t="s">
        <v>45</v>
      </c>
      <c r="P383" s="95" t="s">
        <v>45</v>
      </c>
      <c r="T383">
        <f>IF($E383="","",COUNTIF($E$2:$E383,$E383))</f>
        <v>148</v>
      </c>
      <c r="U383" t="str">
        <f t="shared" si="5"/>
        <v>CERVICALES|148</v>
      </c>
    </row>
    <row r="384" spans="1:21" x14ac:dyDescent="0.25">
      <c r="A384" s="95" t="s">
        <v>476</v>
      </c>
      <c r="B384" s="96">
        <v>46197</v>
      </c>
      <c r="C384" s="95" t="s">
        <v>58</v>
      </c>
      <c r="D384" s="95" t="s">
        <v>40</v>
      </c>
      <c r="E384" s="95" t="s">
        <v>60</v>
      </c>
      <c r="F384" s="97">
        <v>0.5</v>
      </c>
      <c r="G384" s="98">
        <v>975</v>
      </c>
      <c r="H384" s="98">
        <v>992.5</v>
      </c>
      <c r="I384" s="98">
        <v>962.72500000000002</v>
      </c>
      <c r="J384" s="98">
        <v>1022.275</v>
      </c>
      <c r="K384" s="99"/>
      <c r="L384" s="95" t="s">
        <v>45</v>
      </c>
      <c r="M384" s="95" t="s">
        <v>45</v>
      </c>
      <c r="N384" s="95" t="s">
        <v>45</v>
      </c>
      <c r="O384" s="95" t="s">
        <v>45</v>
      </c>
      <c r="P384" s="95" t="s">
        <v>45</v>
      </c>
      <c r="T384">
        <f>IF($E384="","",COUNTIF($E$2:$E384,$E384))</f>
        <v>149</v>
      </c>
      <c r="U384" t="str">
        <f t="shared" si="5"/>
        <v>CERVICALES|149</v>
      </c>
    </row>
    <row r="385" spans="1:21" x14ac:dyDescent="0.25">
      <c r="A385" s="95" t="s">
        <v>477</v>
      </c>
      <c r="B385" s="96">
        <v>46197</v>
      </c>
      <c r="C385" s="95" t="s">
        <v>58</v>
      </c>
      <c r="D385" s="95" t="s">
        <v>40</v>
      </c>
      <c r="E385" s="95" t="s">
        <v>7</v>
      </c>
      <c r="F385" s="97">
        <v>0.5</v>
      </c>
      <c r="G385" s="98">
        <v>990</v>
      </c>
      <c r="H385" s="98">
        <v>1010</v>
      </c>
      <c r="I385" s="98">
        <v>979.69999999999993</v>
      </c>
      <c r="J385" s="98">
        <v>1040.3</v>
      </c>
      <c r="K385" s="99"/>
      <c r="L385" s="95" t="s">
        <v>45</v>
      </c>
      <c r="M385" s="95" t="s">
        <v>45</v>
      </c>
      <c r="N385" s="95" t="s">
        <v>45</v>
      </c>
      <c r="O385" s="95" t="s">
        <v>45</v>
      </c>
      <c r="P385" s="95" t="s">
        <v>45</v>
      </c>
      <c r="T385">
        <f>IF($E385="","",COUNTIF($E$2:$E385,$E385))</f>
        <v>171</v>
      </c>
      <c r="U385" t="str">
        <f t="shared" si="5"/>
        <v>CLÁSICAS|171</v>
      </c>
    </row>
    <row r="386" spans="1:21" x14ac:dyDescent="0.25">
      <c r="A386" s="95" t="s">
        <v>478</v>
      </c>
      <c r="B386" s="96">
        <v>46197</v>
      </c>
      <c r="C386" s="95" t="s">
        <v>58</v>
      </c>
      <c r="D386" s="95" t="s">
        <v>40</v>
      </c>
      <c r="E386" s="95" t="s">
        <v>7</v>
      </c>
      <c r="F386" s="97">
        <v>0.54166666666666663</v>
      </c>
      <c r="G386" s="98">
        <v>985</v>
      </c>
      <c r="H386" s="98">
        <v>1010</v>
      </c>
      <c r="I386" s="98">
        <v>979.69999999999993</v>
      </c>
      <c r="J386" s="98">
        <v>1040.3</v>
      </c>
      <c r="K386" s="99"/>
      <c r="L386" s="95" t="s">
        <v>45</v>
      </c>
      <c r="M386" s="95" t="s">
        <v>45</v>
      </c>
      <c r="N386" s="95" t="s">
        <v>45</v>
      </c>
      <c r="O386" s="95" t="s">
        <v>45</v>
      </c>
      <c r="P386" s="95" t="s">
        <v>45</v>
      </c>
      <c r="T386">
        <f>IF($E386="","",COUNTIF($E$2:$E386,$E386))</f>
        <v>172</v>
      </c>
      <c r="U386" t="str">
        <f t="shared" ref="U386:U449" si="6">IF($E386="","",$E386&amp;"|"&amp;T386)</f>
        <v>CLÁSICAS|172</v>
      </c>
    </row>
    <row r="387" spans="1:21" x14ac:dyDescent="0.25">
      <c r="A387" s="95" t="s">
        <v>479</v>
      </c>
      <c r="B387" s="96">
        <v>46197</v>
      </c>
      <c r="C387" s="95" t="s">
        <v>58</v>
      </c>
      <c r="D387" s="95" t="s">
        <v>40</v>
      </c>
      <c r="E387" s="95" t="s">
        <v>60</v>
      </c>
      <c r="F387" s="97">
        <v>0.54166666666666663</v>
      </c>
      <c r="G387" s="98">
        <v>975</v>
      </c>
      <c r="H387" s="98">
        <v>992.5</v>
      </c>
      <c r="I387" s="98">
        <v>962.72500000000002</v>
      </c>
      <c r="J387" s="98">
        <v>1022.275</v>
      </c>
      <c r="K387" s="99"/>
      <c r="L387" s="95" t="s">
        <v>45</v>
      </c>
      <c r="M387" s="95" t="s">
        <v>45</v>
      </c>
      <c r="N387" s="95" t="s">
        <v>45</v>
      </c>
      <c r="O387" s="95" t="s">
        <v>45</v>
      </c>
      <c r="P387" s="95" t="s">
        <v>45</v>
      </c>
      <c r="T387">
        <f>IF($E387="","",COUNTIF($E$2:$E387,$E387))</f>
        <v>150</v>
      </c>
      <c r="U387" t="str">
        <f t="shared" si="6"/>
        <v>CERVICALES|150</v>
      </c>
    </row>
    <row r="388" spans="1:21" x14ac:dyDescent="0.25">
      <c r="A388" s="95" t="s">
        <v>480</v>
      </c>
      <c r="B388" s="96">
        <v>46198</v>
      </c>
      <c r="C388" s="95" t="s">
        <v>58</v>
      </c>
      <c r="D388" s="95" t="s">
        <v>40</v>
      </c>
      <c r="E388" s="95" t="s">
        <v>7</v>
      </c>
      <c r="F388" s="97">
        <v>0.25</v>
      </c>
      <c r="G388" s="98">
        <v>985</v>
      </c>
      <c r="H388" s="98">
        <v>1010</v>
      </c>
      <c r="I388" s="98">
        <v>979.69999999999993</v>
      </c>
      <c r="J388" s="98">
        <v>1040.3</v>
      </c>
      <c r="K388" s="99"/>
      <c r="L388" s="95" t="s">
        <v>45</v>
      </c>
      <c r="M388" s="95" t="s">
        <v>45</v>
      </c>
      <c r="N388" s="95" t="s">
        <v>45</v>
      </c>
      <c r="O388" s="95" t="s">
        <v>45</v>
      </c>
      <c r="P388" s="95" t="s">
        <v>45</v>
      </c>
      <c r="T388">
        <f>IF($E388="","",COUNTIF($E$2:$E388,$E388))</f>
        <v>173</v>
      </c>
      <c r="U388" t="str">
        <f t="shared" si="6"/>
        <v>CLÁSICAS|173</v>
      </c>
    </row>
    <row r="389" spans="1:21" x14ac:dyDescent="0.25">
      <c r="A389" s="95" t="s">
        <v>481</v>
      </c>
      <c r="B389" s="96">
        <v>46198</v>
      </c>
      <c r="C389" s="95" t="s">
        <v>58</v>
      </c>
      <c r="D389" s="95" t="s">
        <v>40</v>
      </c>
      <c r="E389" s="95" t="s">
        <v>60</v>
      </c>
      <c r="F389" s="97">
        <v>0.25</v>
      </c>
      <c r="G389" s="98">
        <v>975</v>
      </c>
      <c r="H389" s="98">
        <v>992.5</v>
      </c>
      <c r="I389" s="98">
        <v>962.72500000000002</v>
      </c>
      <c r="J389" s="98">
        <v>1022.275</v>
      </c>
      <c r="K389" s="99"/>
      <c r="L389" s="95" t="s">
        <v>45</v>
      </c>
      <c r="M389" s="95" t="s">
        <v>45</v>
      </c>
      <c r="N389" s="95" t="s">
        <v>45</v>
      </c>
      <c r="O389" s="95" t="s">
        <v>45</v>
      </c>
      <c r="P389" s="95" t="s">
        <v>45</v>
      </c>
      <c r="T389">
        <f>IF($E389="","",COUNTIF($E$2:$E389,$E389))</f>
        <v>151</v>
      </c>
      <c r="U389" t="str">
        <f t="shared" si="6"/>
        <v>CERVICALES|151</v>
      </c>
    </row>
    <row r="390" spans="1:21" x14ac:dyDescent="0.25">
      <c r="A390" s="95" t="s">
        <v>482</v>
      </c>
      <c r="B390" s="96">
        <v>46198</v>
      </c>
      <c r="C390" s="95" t="s">
        <v>58</v>
      </c>
      <c r="D390" s="95" t="s">
        <v>40</v>
      </c>
      <c r="E390" s="95" t="s">
        <v>60</v>
      </c>
      <c r="F390" s="97">
        <v>0.29166666666666669</v>
      </c>
      <c r="G390" s="98">
        <v>975</v>
      </c>
      <c r="H390" s="98">
        <v>992.5</v>
      </c>
      <c r="I390" s="98">
        <v>962.72500000000002</v>
      </c>
      <c r="J390" s="98">
        <v>1022.275</v>
      </c>
      <c r="K390" s="99"/>
      <c r="L390" s="95" t="s">
        <v>45</v>
      </c>
      <c r="M390" s="95" t="s">
        <v>45</v>
      </c>
      <c r="N390" s="95" t="s">
        <v>45</v>
      </c>
      <c r="O390" s="95" t="s">
        <v>45</v>
      </c>
      <c r="P390" s="95" t="s">
        <v>45</v>
      </c>
      <c r="T390">
        <f>IF($E390="","",COUNTIF($E$2:$E390,$E390))</f>
        <v>152</v>
      </c>
      <c r="U390" t="str">
        <f t="shared" si="6"/>
        <v>CERVICALES|152</v>
      </c>
    </row>
    <row r="391" spans="1:21" x14ac:dyDescent="0.25">
      <c r="A391" s="95" t="s">
        <v>483</v>
      </c>
      <c r="B391" s="96">
        <v>46198</v>
      </c>
      <c r="C391" s="95" t="s">
        <v>58</v>
      </c>
      <c r="D391" s="95" t="s">
        <v>40</v>
      </c>
      <c r="E391" s="95" t="s">
        <v>7</v>
      </c>
      <c r="F391" s="97">
        <v>0.29166666666666669</v>
      </c>
      <c r="G391" s="98">
        <v>990</v>
      </c>
      <c r="H391" s="98">
        <v>1010</v>
      </c>
      <c r="I391" s="98">
        <v>979.69999999999993</v>
      </c>
      <c r="J391" s="98">
        <v>1040.3</v>
      </c>
      <c r="K391" s="99"/>
      <c r="L391" s="95" t="s">
        <v>45</v>
      </c>
      <c r="M391" s="95" t="s">
        <v>45</v>
      </c>
      <c r="N391" s="95" t="s">
        <v>45</v>
      </c>
      <c r="O391" s="95" t="s">
        <v>45</v>
      </c>
      <c r="P391" s="95" t="s">
        <v>45</v>
      </c>
      <c r="T391">
        <f>IF($E391="","",COUNTIF($E$2:$E391,$E391))</f>
        <v>174</v>
      </c>
      <c r="U391" t="str">
        <f t="shared" si="6"/>
        <v>CLÁSICAS|174</v>
      </c>
    </row>
    <row r="392" spans="1:21" x14ac:dyDescent="0.25">
      <c r="A392" s="95" t="s">
        <v>484</v>
      </c>
      <c r="B392" s="96">
        <v>46198</v>
      </c>
      <c r="C392" s="95" t="s">
        <v>58</v>
      </c>
      <c r="D392" s="95" t="s">
        <v>40</v>
      </c>
      <c r="E392" s="95" t="s">
        <v>7</v>
      </c>
      <c r="F392" s="97">
        <v>0.33333333333333331</v>
      </c>
      <c r="G392" s="98">
        <v>990</v>
      </c>
      <c r="H392" s="98">
        <v>1010</v>
      </c>
      <c r="I392" s="98">
        <v>979.69999999999993</v>
      </c>
      <c r="J392" s="98">
        <v>1040.3</v>
      </c>
      <c r="K392" s="99"/>
      <c r="L392" s="95" t="s">
        <v>45</v>
      </c>
      <c r="M392" s="95" t="s">
        <v>45</v>
      </c>
      <c r="N392" s="95" t="s">
        <v>45</v>
      </c>
      <c r="O392" s="95" t="s">
        <v>45</v>
      </c>
      <c r="P392" s="95" t="s">
        <v>45</v>
      </c>
      <c r="T392">
        <f>IF($E392="","",COUNTIF($E$2:$E392,$E392))</f>
        <v>175</v>
      </c>
      <c r="U392" t="str">
        <f t="shared" si="6"/>
        <v>CLÁSICAS|175</v>
      </c>
    </row>
    <row r="393" spans="1:21" x14ac:dyDescent="0.25">
      <c r="A393" s="95" t="s">
        <v>485</v>
      </c>
      <c r="B393" s="96">
        <v>46198</v>
      </c>
      <c r="C393" s="95" t="s">
        <v>58</v>
      </c>
      <c r="D393" s="95" t="s">
        <v>40</v>
      </c>
      <c r="E393" s="95" t="s">
        <v>60</v>
      </c>
      <c r="F393" s="97">
        <v>0.33333333333333331</v>
      </c>
      <c r="G393" s="98">
        <v>975</v>
      </c>
      <c r="H393" s="98">
        <v>992.5</v>
      </c>
      <c r="I393" s="98">
        <v>962.72500000000002</v>
      </c>
      <c r="J393" s="98">
        <v>1022.275</v>
      </c>
      <c r="K393" s="99"/>
      <c r="L393" s="95" t="s">
        <v>45</v>
      </c>
      <c r="M393" s="95" t="s">
        <v>45</v>
      </c>
      <c r="N393" s="95" t="s">
        <v>45</v>
      </c>
      <c r="O393" s="95" t="s">
        <v>45</v>
      </c>
      <c r="P393" s="95" t="s">
        <v>45</v>
      </c>
      <c r="T393">
        <f>IF($E393="","",COUNTIF($E$2:$E393,$E393))</f>
        <v>153</v>
      </c>
      <c r="U393" t="str">
        <f t="shared" si="6"/>
        <v>CERVICALES|153</v>
      </c>
    </row>
    <row r="394" spans="1:21" x14ac:dyDescent="0.25">
      <c r="A394" s="95" t="s">
        <v>486</v>
      </c>
      <c r="B394" s="96">
        <v>46198</v>
      </c>
      <c r="C394" s="95" t="s">
        <v>58</v>
      </c>
      <c r="D394" s="95" t="s">
        <v>40</v>
      </c>
      <c r="E394" s="95" t="s">
        <v>60</v>
      </c>
      <c r="F394" s="97">
        <v>0.375</v>
      </c>
      <c r="G394" s="98">
        <v>975</v>
      </c>
      <c r="H394" s="98">
        <v>992.5</v>
      </c>
      <c r="I394" s="98">
        <v>962.72500000000002</v>
      </c>
      <c r="J394" s="98">
        <v>1022.275</v>
      </c>
      <c r="K394" s="99"/>
      <c r="L394" s="95" t="s">
        <v>45</v>
      </c>
      <c r="M394" s="95" t="s">
        <v>45</v>
      </c>
      <c r="N394" s="95" t="s">
        <v>45</v>
      </c>
      <c r="O394" s="95" t="s">
        <v>45</v>
      </c>
      <c r="P394" s="95" t="s">
        <v>45</v>
      </c>
      <c r="T394">
        <f>IF($E394="","",COUNTIF($E$2:$E394,$E394))</f>
        <v>154</v>
      </c>
      <c r="U394" t="str">
        <f t="shared" si="6"/>
        <v>CERVICALES|154</v>
      </c>
    </row>
    <row r="395" spans="1:21" x14ac:dyDescent="0.25">
      <c r="A395" s="95" t="s">
        <v>487</v>
      </c>
      <c r="B395" s="96">
        <v>46198</v>
      </c>
      <c r="C395" s="95" t="s">
        <v>58</v>
      </c>
      <c r="D395" s="95" t="s">
        <v>40</v>
      </c>
      <c r="E395" s="95" t="s">
        <v>7</v>
      </c>
      <c r="F395" s="97">
        <v>0.375</v>
      </c>
      <c r="G395" s="98">
        <v>985</v>
      </c>
      <c r="H395" s="98">
        <v>1010</v>
      </c>
      <c r="I395" s="98">
        <v>979.69999999999993</v>
      </c>
      <c r="J395" s="98">
        <v>1040.3</v>
      </c>
      <c r="K395" s="99"/>
      <c r="L395" s="95" t="s">
        <v>45</v>
      </c>
      <c r="M395" s="95" t="s">
        <v>45</v>
      </c>
      <c r="N395" s="95" t="s">
        <v>45</v>
      </c>
      <c r="O395" s="95" t="s">
        <v>45</v>
      </c>
      <c r="P395" s="95" t="s">
        <v>45</v>
      </c>
      <c r="T395">
        <f>IF($E395="","",COUNTIF($E$2:$E395,$E395))</f>
        <v>176</v>
      </c>
      <c r="U395" t="str">
        <f t="shared" si="6"/>
        <v>CLÁSICAS|176</v>
      </c>
    </row>
    <row r="396" spans="1:21" x14ac:dyDescent="0.25">
      <c r="A396" s="95" t="s">
        <v>488</v>
      </c>
      <c r="B396" s="96">
        <v>46198</v>
      </c>
      <c r="C396" s="95" t="s">
        <v>58</v>
      </c>
      <c r="D396" s="95" t="s">
        <v>40</v>
      </c>
      <c r="E396" s="95" t="s">
        <v>7</v>
      </c>
      <c r="F396" s="97">
        <v>0.41666666666666669</v>
      </c>
      <c r="G396" s="98">
        <v>985</v>
      </c>
      <c r="H396" s="98">
        <v>1010</v>
      </c>
      <c r="I396" s="98">
        <v>979.69999999999993</v>
      </c>
      <c r="J396" s="98">
        <v>1040.3</v>
      </c>
      <c r="K396" s="99"/>
      <c r="L396" s="95" t="s">
        <v>45</v>
      </c>
      <c r="M396" s="95" t="s">
        <v>45</v>
      </c>
      <c r="N396" s="95" t="s">
        <v>45</v>
      </c>
      <c r="O396" s="95" t="s">
        <v>45</v>
      </c>
      <c r="P396" s="95" t="s">
        <v>45</v>
      </c>
      <c r="T396">
        <f>IF($E396="","",COUNTIF($E$2:$E396,$E396))</f>
        <v>177</v>
      </c>
      <c r="U396" t="str">
        <f t="shared" si="6"/>
        <v>CLÁSICAS|177</v>
      </c>
    </row>
    <row r="397" spans="1:21" x14ac:dyDescent="0.25">
      <c r="A397" s="95" t="s">
        <v>489</v>
      </c>
      <c r="B397" s="96">
        <v>46198</v>
      </c>
      <c r="C397" s="95" t="s">
        <v>58</v>
      </c>
      <c r="D397" s="95" t="s">
        <v>40</v>
      </c>
      <c r="E397" s="95" t="s">
        <v>60</v>
      </c>
      <c r="F397" s="97">
        <v>0.41666666666666669</v>
      </c>
      <c r="G397" s="98">
        <v>975</v>
      </c>
      <c r="H397" s="98">
        <v>992.5</v>
      </c>
      <c r="I397" s="98">
        <v>962.72500000000002</v>
      </c>
      <c r="J397" s="98">
        <v>1022.275</v>
      </c>
      <c r="K397" s="99"/>
      <c r="L397" s="95" t="s">
        <v>45</v>
      </c>
      <c r="M397" s="95" t="s">
        <v>45</v>
      </c>
      <c r="N397" s="95" t="s">
        <v>45</v>
      </c>
      <c r="O397" s="95" t="s">
        <v>45</v>
      </c>
      <c r="P397" s="95" t="s">
        <v>45</v>
      </c>
      <c r="T397">
        <f>IF($E397="","",COUNTIF($E$2:$E397,$E397))</f>
        <v>155</v>
      </c>
      <c r="U397" t="str">
        <f t="shared" si="6"/>
        <v>CERVICALES|155</v>
      </c>
    </row>
    <row r="398" spans="1:21" x14ac:dyDescent="0.25">
      <c r="A398" s="95" t="s">
        <v>490</v>
      </c>
      <c r="B398" s="96">
        <v>46198</v>
      </c>
      <c r="C398" s="95" t="s">
        <v>58</v>
      </c>
      <c r="D398" s="95" t="s">
        <v>40</v>
      </c>
      <c r="E398" s="95" t="s">
        <v>7</v>
      </c>
      <c r="F398" s="97">
        <v>0.45833333333333331</v>
      </c>
      <c r="G398" s="98">
        <v>985</v>
      </c>
      <c r="H398" s="98">
        <v>1010</v>
      </c>
      <c r="I398" s="98">
        <v>979.69999999999993</v>
      </c>
      <c r="J398" s="98">
        <v>1040.3</v>
      </c>
      <c r="K398" s="99"/>
      <c r="L398" s="95" t="s">
        <v>45</v>
      </c>
      <c r="M398" s="95" t="s">
        <v>45</v>
      </c>
      <c r="N398" s="95" t="s">
        <v>45</v>
      </c>
      <c r="O398" s="95" t="s">
        <v>45</v>
      </c>
      <c r="P398" s="95" t="s">
        <v>45</v>
      </c>
      <c r="T398">
        <f>IF($E398="","",COUNTIF($E$2:$E398,$E398))</f>
        <v>178</v>
      </c>
      <c r="U398" t="str">
        <f t="shared" si="6"/>
        <v>CLÁSICAS|178</v>
      </c>
    </row>
    <row r="399" spans="1:21" x14ac:dyDescent="0.25">
      <c r="A399" s="95" t="s">
        <v>491</v>
      </c>
      <c r="B399" s="96">
        <v>46198</v>
      </c>
      <c r="C399" s="95" t="s">
        <v>58</v>
      </c>
      <c r="D399" s="95" t="s">
        <v>40</v>
      </c>
      <c r="E399" s="95" t="s">
        <v>60</v>
      </c>
      <c r="F399" s="97">
        <v>0.45833333333333331</v>
      </c>
      <c r="G399" s="98">
        <v>975</v>
      </c>
      <c r="H399" s="98">
        <v>992.5</v>
      </c>
      <c r="I399" s="98">
        <v>962.72500000000002</v>
      </c>
      <c r="J399" s="98">
        <v>1022.275</v>
      </c>
      <c r="K399" s="99"/>
      <c r="L399" s="95" t="s">
        <v>45</v>
      </c>
      <c r="M399" s="95" t="s">
        <v>45</v>
      </c>
      <c r="N399" s="95" t="s">
        <v>45</v>
      </c>
      <c r="O399" s="95" t="s">
        <v>45</v>
      </c>
      <c r="P399" s="95" t="s">
        <v>45</v>
      </c>
      <c r="T399">
        <f>IF($E399="","",COUNTIF($E$2:$E399,$E399))</f>
        <v>156</v>
      </c>
      <c r="U399" t="str">
        <f t="shared" si="6"/>
        <v>CERVICALES|156</v>
      </c>
    </row>
    <row r="400" spans="1:21" x14ac:dyDescent="0.25">
      <c r="A400" s="95" t="s">
        <v>492</v>
      </c>
      <c r="B400" s="96">
        <v>46198</v>
      </c>
      <c r="C400" s="95" t="s">
        <v>58</v>
      </c>
      <c r="D400" s="95" t="s">
        <v>40</v>
      </c>
      <c r="E400" s="95" t="s">
        <v>60</v>
      </c>
      <c r="F400" s="97">
        <v>0.5</v>
      </c>
      <c r="G400" s="98">
        <v>975</v>
      </c>
      <c r="H400" s="98">
        <v>992.5</v>
      </c>
      <c r="I400" s="98">
        <v>962.72500000000002</v>
      </c>
      <c r="J400" s="98">
        <v>1022.275</v>
      </c>
      <c r="K400" s="99"/>
      <c r="L400" s="95" t="s">
        <v>45</v>
      </c>
      <c r="M400" s="95" t="s">
        <v>45</v>
      </c>
      <c r="N400" s="95" t="s">
        <v>45</v>
      </c>
      <c r="O400" s="95" t="s">
        <v>45</v>
      </c>
      <c r="P400" s="95" t="s">
        <v>45</v>
      </c>
      <c r="T400">
        <f>IF($E400="","",COUNTIF($E$2:$E400,$E400))</f>
        <v>157</v>
      </c>
      <c r="U400" t="str">
        <f t="shared" si="6"/>
        <v>CERVICALES|157</v>
      </c>
    </row>
    <row r="401" spans="1:21" x14ac:dyDescent="0.25">
      <c r="A401" s="95" t="s">
        <v>493</v>
      </c>
      <c r="B401" s="96">
        <v>46198</v>
      </c>
      <c r="C401" s="95" t="s">
        <v>58</v>
      </c>
      <c r="D401" s="95" t="s">
        <v>40</v>
      </c>
      <c r="E401" s="95" t="s">
        <v>7</v>
      </c>
      <c r="F401" s="97">
        <v>0.5</v>
      </c>
      <c r="G401" s="98">
        <v>985</v>
      </c>
      <c r="H401" s="98">
        <v>1010</v>
      </c>
      <c r="I401" s="98">
        <v>979.69999999999993</v>
      </c>
      <c r="J401" s="98">
        <v>1040.3</v>
      </c>
      <c r="K401" s="99"/>
      <c r="L401" s="95" t="s">
        <v>45</v>
      </c>
      <c r="M401" s="95" t="s">
        <v>45</v>
      </c>
      <c r="N401" s="95" t="s">
        <v>45</v>
      </c>
      <c r="O401" s="95" t="s">
        <v>45</v>
      </c>
      <c r="P401" s="95" t="s">
        <v>45</v>
      </c>
      <c r="T401">
        <f>IF($E401="","",COUNTIF($E$2:$E401,$E401))</f>
        <v>179</v>
      </c>
      <c r="U401" t="str">
        <f t="shared" si="6"/>
        <v>CLÁSICAS|179</v>
      </c>
    </row>
    <row r="402" spans="1:21" x14ac:dyDescent="0.25">
      <c r="A402" s="95" t="s">
        <v>494</v>
      </c>
      <c r="B402" s="96">
        <v>46199</v>
      </c>
      <c r="C402" s="95" t="s">
        <v>58</v>
      </c>
      <c r="D402" s="95" t="s">
        <v>40</v>
      </c>
      <c r="E402" s="95" t="s">
        <v>7</v>
      </c>
      <c r="F402" s="97">
        <v>0.375</v>
      </c>
      <c r="G402" s="98">
        <v>960</v>
      </c>
      <c r="H402" s="98">
        <v>1010</v>
      </c>
      <c r="I402" s="98">
        <v>979.69999999999993</v>
      </c>
      <c r="J402" s="98">
        <v>1040.3</v>
      </c>
      <c r="K402" s="99"/>
      <c r="L402" s="95" t="s">
        <v>45</v>
      </c>
      <c r="M402" s="95" t="s">
        <v>45</v>
      </c>
      <c r="N402" s="95" t="s">
        <v>45</v>
      </c>
      <c r="O402" s="95" t="s">
        <v>45</v>
      </c>
      <c r="P402" s="95" t="s">
        <v>45</v>
      </c>
      <c r="T402">
        <f>IF($E402="","",COUNTIF($E$2:$E402,$E402))</f>
        <v>180</v>
      </c>
      <c r="U402" t="str">
        <f t="shared" si="6"/>
        <v>CLÁSICAS|180</v>
      </c>
    </row>
    <row r="403" spans="1:21" x14ac:dyDescent="0.25">
      <c r="A403" s="95" t="s">
        <v>495</v>
      </c>
      <c r="B403" s="96">
        <v>46199</v>
      </c>
      <c r="C403" s="95" t="s">
        <v>58</v>
      </c>
      <c r="D403" s="95" t="s">
        <v>40</v>
      </c>
      <c r="E403" s="95" t="s">
        <v>7</v>
      </c>
      <c r="F403" s="97">
        <v>0.41666666666666669</v>
      </c>
      <c r="G403" s="98">
        <v>965</v>
      </c>
      <c r="H403" s="98">
        <v>1010</v>
      </c>
      <c r="I403" s="98">
        <v>979.69999999999993</v>
      </c>
      <c r="J403" s="98">
        <v>1040.3</v>
      </c>
      <c r="K403" s="99"/>
      <c r="L403" s="95" t="s">
        <v>45</v>
      </c>
      <c r="M403" s="95" t="s">
        <v>45</v>
      </c>
      <c r="N403" s="95" t="s">
        <v>45</v>
      </c>
      <c r="O403" s="95" t="s">
        <v>45</v>
      </c>
      <c r="P403" s="95" t="s">
        <v>45</v>
      </c>
      <c r="T403">
        <f>IF($E403="","",COUNTIF($E$2:$E403,$E403))</f>
        <v>181</v>
      </c>
      <c r="U403" t="str">
        <f t="shared" si="6"/>
        <v>CLÁSICAS|181</v>
      </c>
    </row>
    <row r="404" spans="1:21" x14ac:dyDescent="0.25">
      <c r="A404" s="9" t="s">
        <v>496</v>
      </c>
      <c r="B404" s="94">
        <v>46205</v>
      </c>
      <c r="C404" s="9" t="s">
        <v>58</v>
      </c>
      <c r="D404" s="9" t="s">
        <v>40</v>
      </c>
      <c r="E404" s="9" t="s">
        <v>7</v>
      </c>
      <c r="F404" s="47">
        <v>0.29166666666666669</v>
      </c>
      <c r="G404" s="45">
        <v>995</v>
      </c>
      <c r="H404" s="45">
        <v>1010</v>
      </c>
      <c r="I404" s="45">
        <v>979.69999999999993</v>
      </c>
      <c r="J404" s="45">
        <v>1040.3</v>
      </c>
      <c r="L404" s="9" t="s">
        <v>45</v>
      </c>
      <c r="M404" s="9" t="s">
        <v>45</v>
      </c>
      <c r="N404" s="9" t="s">
        <v>45</v>
      </c>
      <c r="O404" s="9" t="s">
        <v>45</v>
      </c>
      <c r="P404" s="9" t="s">
        <v>45</v>
      </c>
      <c r="T404">
        <f>IF($E404="","",COUNTIF($E$2:$E404,$E404))</f>
        <v>182</v>
      </c>
      <c r="U404" t="str">
        <f t="shared" si="6"/>
        <v>CLÁSICAS|182</v>
      </c>
    </row>
    <row r="405" spans="1:21" x14ac:dyDescent="0.25">
      <c r="A405" s="9" t="s">
        <v>497</v>
      </c>
      <c r="B405" s="94">
        <v>46205</v>
      </c>
      <c r="C405" s="9" t="s">
        <v>58</v>
      </c>
      <c r="D405" s="9" t="s">
        <v>40</v>
      </c>
      <c r="E405" s="9" t="s">
        <v>7</v>
      </c>
      <c r="F405" s="47">
        <v>0.33333333333333331</v>
      </c>
      <c r="G405" s="45">
        <v>995</v>
      </c>
      <c r="H405" s="45">
        <v>1010</v>
      </c>
      <c r="I405" s="45">
        <v>979.69999999999993</v>
      </c>
      <c r="J405" s="45">
        <v>1040.3</v>
      </c>
      <c r="L405" s="9" t="s">
        <v>45</v>
      </c>
      <c r="M405" s="9" t="s">
        <v>45</v>
      </c>
      <c r="N405" s="9" t="s">
        <v>45</v>
      </c>
      <c r="O405" s="9" t="s">
        <v>45</v>
      </c>
      <c r="P405" s="9" t="s">
        <v>45</v>
      </c>
      <c r="T405">
        <f>IF($E405="","",COUNTIF($E$2:$E405,$E405))</f>
        <v>183</v>
      </c>
      <c r="U405" t="str">
        <f t="shared" si="6"/>
        <v>CLÁSICAS|183</v>
      </c>
    </row>
    <row r="406" spans="1:21" x14ac:dyDescent="0.25">
      <c r="A406" s="9" t="s">
        <v>498</v>
      </c>
      <c r="B406" s="94">
        <v>46205</v>
      </c>
      <c r="C406" s="9" t="s">
        <v>58</v>
      </c>
      <c r="D406" s="9" t="s">
        <v>40</v>
      </c>
      <c r="E406" s="9" t="s">
        <v>7</v>
      </c>
      <c r="F406" s="47">
        <v>0.375</v>
      </c>
      <c r="G406" s="45">
        <v>995</v>
      </c>
      <c r="H406" s="45">
        <v>1010</v>
      </c>
      <c r="I406" s="45">
        <v>979.69999999999993</v>
      </c>
      <c r="J406" s="45">
        <v>1040.3</v>
      </c>
      <c r="L406" s="9" t="s">
        <v>45</v>
      </c>
      <c r="M406" s="9" t="s">
        <v>45</v>
      </c>
      <c r="N406" s="9" t="s">
        <v>45</v>
      </c>
      <c r="O406" s="9" t="s">
        <v>45</v>
      </c>
      <c r="P406" s="9" t="s">
        <v>45</v>
      </c>
      <c r="T406">
        <f>IF($E406="","",COUNTIF($E$2:$E406,$E406))</f>
        <v>184</v>
      </c>
      <c r="U406" t="str">
        <f t="shared" si="6"/>
        <v>CLÁSICAS|184</v>
      </c>
    </row>
    <row r="407" spans="1:21" x14ac:dyDescent="0.25">
      <c r="A407" s="9" t="s">
        <v>499</v>
      </c>
      <c r="B407" s="94">
        <v>46205</v>
      </c>
      <c r="C407" s="9" t="s">
        <v>58</v>
      </c>
      <c r="D407" s="9" t="s">
        <v>40</v>
      </c>
      <c r="E407" s="9" t="s">
        <v>7</v>
      </c>
      <c r="F407" s="47">
        <v>0.41666666666666669</v>
      </c>
      <c r="G407" s="45">
        <v>995</v>
      </c>
      <c r="H407" s="45">
        <v>1010</v>
      </c>
      <c r="I407" s="45">
        <v>979.69999999999993</v>
      </c>
      <c r="J407" s="45">
        <v>1040.3</v>
      </c>
      <c r="L407" s="9" t="s">
        <v>45</v>
      </c>
      <c r="M407" s="9" t="s">
        <v>45</v>
      </c>
      <c r="N407" s="9" t="s">
        <v>45</v>
      </c>
      <c r="O407" s="9" t="s">
        <v>45</v>
      </c>
      <c r="P407" s="9" t="s">
        <v>45</v>
      </c>
      <c r="T407">
        <f>IF($E407="","",COUNTIF($E$2:$E407,$E407))</f>
        <v>185</v>
      </c>
      <c r="U407" t="str">
        <f t="shared" si="6"/>
        <v>CLÁSICAS|185</v>
      </c>
    </row>
    <row r="408" spans="1:21" x14ac:dyDescent="0.25">
      <c r="A408" s="9" t="s">
        <v>500</v>
      </c>
      <c r="B408" s="94">
        <v>46205</v>
      </c>
      <c r="C408" s="9" t="s">
        <v>58</v>
      </c>
      <c r="D408" s="9" t="s">
        <v>40</v>
      </c>
      <c r="E408" s="9" t="s">
        <v>7</v>
      </c>
      <c r="F408" s="47">
        <v>0.45833333333333331</v>
      </c>
      <c r="G408" s="45">
        <v>990</v>
      </c>
      <c r="H408" s="45">
        <v>1010</v>
      </c>
      <c r="I408" s="45">
        <v>979.69999999999993</v>
      </c>
      <c r="J408" s="45">
        <v>1040.3</v>
      </c>
      <c r="L408" s="9" t="s">
        <v>45</v>
      </c>
      <c r="M408" s="9" t="s">
        <v>45</v>
      </c>
      <c r="N408" s="9" t="s">
        <v>45</v>
      </c>
      <c r="O408" s="9" t="s">
        <v>45</v>
      </c>
      <c r="P408" s="9" t="s">
        <v>45</v>
      </c>
      <c r="T408">
        <f>IF($E408="","",COUNTIF($E$2:$E408,$E408))</f>
        <v>186</v>
      </c>
      <c r="U408" t="str">
        <f t="shared" si="6"/>
        <v>CLÁSICAS|186</v>
      </c>
    </row>
    <row r="409" spans="1:21" x14ac:dyDescent="0.25">
      <c r="A409" s="9" t="s">
        <v>501</v>
      </c>
      <c r="B409" s="94">
        <v>46205</v>
      </c>
      <c r="C409" s="9" t="s">
        <v>58</v>
      </c>
      <c r="D409" s="9" t="s">
        <v>40</v>
      </c>
      <c r="E409" s="9" t="s">
        <v>7</v>
      </c>
      <c r="F409" s="47">
        <v>0.5</v>
      </c>
      <c r="G409" s="45">
        <v>990</v>
      </c>
      <c r="H409" s="45">
        <v>1010</v>
      </c>
      <c r="I409" s="45">
        <v>979.69999999999993</v>
      </c>
      <c r="J409" s="45">
        <v>1040.3</v>
      </c>
      <c r="L409" s="9" t="s">
        <v>45</v>
      </c>
      <c r="M409" s="9" t="s">
        <v>45</v>
      </c>
      <c r="N409" s="9" t="s">
        <v>45</v>
      </c>
      <c r="O409" s="9" t="s">
        <v>45</v>
      </c>
      <c r="P409" s="9" t="s">
        <v>45</v>
      </c>
      <c r="T409">
        <f>IF($E409="","",COUNTIF($E$2:$E409,$E409))</f>
        <v>187</v>
      </c>
      <c r="U409" t="str">
        <f t="shared" si="6"/>
        <v>CLÁSICAS|187</v>
      </c>
    </row>
    <row r="410" spans="1:21" x14ac:dyDescent="0.25">
      <c r="A410" s="9" t="s">
        <v>502</v>
      </c>
      <c r="B410" s="94">
        <v>46206</v>
      </c>
      <c r="C410" s="9" t="s">
        <v>58</v>
      </c>
      <c r="D410" s="9" t="s">
        <v>40</v>
      </c>
      <c r="E410" s="9" t="s">
        <v>60</v>
      </c>
      <c r="F410" s="47">
        <v>0.25</v>
      </c>
      <c r="G410" s="45">
        <v>960</v>
      </c>
      <c r="H410" s="45">
        <v>992.5</v>
      </c>
      <c r="I410" s="45">
        <v>962.72500000000002</v>
      </c>
      <c r="J410" s="45">
        <v>1022.275</v>
      </c>
      <c r="L410" s="9" t="s">
        <v>45</v>
      </c>
      <c r="M410" s="9" t="s">
        <v>45</v>
      </c>
      <c r="N410" s="9" t="s">
        <v>45</v>
      </c>
      <c r="O410" s="9" t="s">
        <v>45</v>
      </c>
      <c r="P410" s="9" t="s">
        <v>45</v>
      </c>
      <c r="T410">
        <f>IF($E410="","",COUNTIF($E$2:$E410,$E410))</f>
        <v>158</v>
      </c>
      <c r="U410" t="str">
        <f t="shared" si="6"/>
        <v>CERVICALES|158</v>
      </c>
    </row>
    <row r="411" spans="1:21" x14ac:dyDescent="0.25">
      <c r="A411" s="9" t="s">
        <v>503</v>
      </c>
      <c r="B411" s="94">
        <v>46206</v>
      </c>
      <c r="C411" s="9" t="s">
        <v>58</v>
      </c>
      <c r="D411" s="9" t="s">
        <v>40</v>
      </c>
      <c r="E411" s="9" t="s">
        <v>7</v>
      </c>
      <c r="F411" s="47">
        <v>0.25</v>
      </c>
      <c r="G411" s="45">
        <v>980</v>
      </c>
      <c r="H411" s="45">
        <v>1010</v>
      </c>
      <c r="I411" s="45">
        <v>979.69999999999993</v>
      </c>
      <c r="J411" s="45">
        <v>1040.3</v>
      </c>
      <c r="L411" s="9" t="s">
        <v>45</v>
      </c>
      <c r="M411" s="9" t="s">
        <v>45</v>
      </c>
      <c r="N411" s="9" t="s">
        <v>45</v>
      </c>
      <c r="O411" s="9" t="s">
        <v>45</v>
      </c>
      <c r="P411" s="9" t="s">
        <v>45</v>
      </c>
      <c r="T411">
        <f>IF($E411="","",COUNTIF($E$2:$E411,$E411))</f>
        <v>188</v>
      </c>
      <c r="U411" t="str">
        <f t="shared" si="6"/>
        <v>CLÁSICAS|188</v>
      </c>
    </row>
    <row r="412" spans="1:21" x14ac:dyDescent="0.25">
      <c r="A412" s="9" t="s">
        <v>504</v>
      </c>
      <c r="B412" s="94">
        <v>46206</v>
      </c>
      <c r="C412" s="9" t="s">
        <v>58</v>
      </c>
      <c r="D412" s="9" t="s">
        <v>40</v>
      </c>
      <c r="E412" s="9" t="s">
        <v>7</v>
      </c>
      <c r="F412" s="47">
        <v>0.29166666666666669</v>
      </c>
      <c r="G412" s="45">
        <v>980</v>
      </c>
      <c r="H412" s="45">
        <v>1010</v>
      </c>
      <c r="I412" s="45">
        <v>979.69999999999993</v>
      </c>
      <c r="J412" s="45">
        <v>1040.3</v>
      </c>
      <c r="L412" s="9" t="s">
        <v>45</v>
      </c>
      <c r="M412" s="9" t="s">
        <v>45</v>
      </c>
      <c r="N412" s="9" t="s">
        <v>45</v>
      </c>
      <c r="O412" s="9" t="s">
        <v>45</v>
      </c>
      <c r="P412" s="9" t="s">
        <v>45</v>
      </c>
      <c r="T412">
        <f>IF($E412="","",COUNTIF($E$2:$E412,$E412))</f>
        <v>189</v>
      </c>
      <c r="U412" t="str">
        <f t="shared" si="6"/>
        <v>CLÁSICAS|189</v>
      </c>
    </row>
    <row r="413" spans="1:21" x14ac:dyDescent="0.25">
      <c r="A413" s="9" t="s">
        <v>505</v>
      </c>
      <c r="B413" s="94">
        <v>46206</v>
      </c>
      <c r="C413" s="9" t="s">
        <v>58</v>
      </c>
      <c r="D413" s="9" t="s">
        <v>40</v>
      </c>
      <c r="E413" s="9" t="s">
        <v>60</v>
      </c>
      <c r="F413" s="47">
        <v>0.29166666666666669</v>
      </c>
      <c r="G413" s="45">
        <v>960</v>
      </c>
      <c r="H413" s="45">
        <v>992.5</v>
      </c>
      <c r="I413" s="45">
        <v>962.72500000000002</v>
      </c>
      <c r="J413" s="45">
        <v>1022.275</v>
      </c>
      <c r="L413" s="9" t="s">
        <v>45</v>
      </c>
      <c r="M413" s="9" t="s">
        <v>45</v>
      </c>
      <c r="N413" s="9" t="s">
        <v>45</v>
      </c>
      <c r="O413" s="9" t="s">
        <v>45</v>
      </c>
      <c r="P413" s="9" t="s">
        <v>45</v>
      </c>
      <c r="T413">
        <f>IF($E413="","",COUNTIF($E$2:$E413,$E413))</f>
        <v>159</v>
      </c>
      <c r="U413" t="str">
        <f t="shared" si="6"/>
        <v>CERVICALES|159</v>
      </c>
    </row>
    <row r="414" spans="1:21" x14ac:dyDescent="0.25">
      <c r="A414" s="9" t="s">
        <v>506</v>
      </c>
      <c r="B414" s="94">
        <v>46206</v>
      </c>
      <c r="C414" s="9" t="s">
        <v>58</v>
      </c>
      <c r="D414" s="9" t="s">
        <v>40</v>
      </c>
      <c r="E414" s="9" t="s">
        <v>60</v>
      </c>
      <c r="F414" s="47">
        <v>0.33333333333333331</v>
      </c>
      <c r="G414" s="45">
        <v>975</v>
      </c>
      <c r="H414" s="45">
        <v>992.5</v>
      </c>
      <c r="I414" s="45">
        <v>962.72500000000002</v>
      </c>
      <c r="J414" s="45">
        <v>1022.275</v>
      </c>
      <c r="L414" s="9" t="s">
        <v>45</v>
      </c>
      <c r="M414" s="9" t="s">
        <v>45</v>
      </c>
      <c r="N414" s="9" t="s">
        <v>45</v>
      </c>
      <c r="O414" s="9" t="s">
        <v>45</v>
      </c>
      <c r="P414" s="9" t="s">
        <v>45</v>
      </c>
      <c r="T414">
        <f>IF($E414="","",COUNTIF($E$2:$E414,$E414))</f>
        <v>160</v>
      </c>
      <c r="U414" t="str">
        <f t="shared" si="6"/>
        <v>CERVICALES|160</v>
      </c>
    </row>
    <row r="415" spans="1:21" x14ac:dyDescent="0.25">
      <c r="A415" s="9" t="s">
        <v>507</v>
      </c>
      <c r="B415" s="94">
        <v>46206</v>
      </c>
      <c r="C415" s="9" t="s">
        <v>58</v>
      </c>
      <c r="D415" s="9" t="s">
        <v>40</v>
      </c>
      <c r="E415" s="9" t="s">
        <v>60</v>
      </c>
      <c r="F415" s="47">
        <v>0.375</v>
      </c>
      <c r="G415" s="45">
        <v>975</v>
      </c>
      <c r="H415" s="45">
        <v>992.5</v>
      </c>
      <c r="I415" s="45">
        <v>962.72500000000002</v>
      </c>
      <c r="J415" s="45">
        <v>1022.275</v>
      </c>
      <c r="L415" s="9" t="s">
        <v>45</v>
      </c>
      <c r="M415" s="9" t="s">
        <v>45</v>
      </c>
      <c r="N415" s="9" t="s">
        <v>45</v>
      </c>
      <c r="O415" s="9" t="s">
        <v>45</v>
      </c>
      <c r="P415" s="9" t="s">
        <v>45</v>
      </c>
      <c r="T415">
        <f>IF($E415="","",COUNTIF($E$2:$E415,$E415))</f>
        <v>161</v>
      </c>
      <c r="U415" t="str">
        <f t="shared" si="6"/>
        <v>CERVICALES|161</v>
      </c>
    </row>
    <row r="416" spans="1:21" x14ac:dyDescent="0.25">
      <c r="T416" t="str">
        <f>IF($E416="","",COUNTIF($E$2:$E416,$E416))</f>
        <v/>
      </c>
      <c r="U416" t="str">
        <f t="shared" si="6"/>
        <v/>
      </c>
    </row>
    <row r="417" spans="20:21" x14ac:dyDescent="0.25">
      <c r="T417" t="str">
        <f>IF($E417="","",COUNTIF($E$2:$E417,$E417))</f>
        <v/>
      </c>
      <c r="U417" t="str">
        <f t="shared" si="6"/>
        <v/>
      </c>
    </row>
    <row r="418" spans="20:21" x14ac:dyDescent="0.25">
      <c r="T418" t="str">
        <f>IF($E418="","",COUNTIF($E$2:$E418,$E418))</f>
        <v/>
      </c>
      <c r="U418" t="str">
        <f t="shared" si="6"/>
        <v/>
      </c>
    </row>
    <row r="419" spans="20:21" x14ac:dyDescent="0.25">
      <c r="T419" t="str">
        <f>IF($E419="","",COUNTIF($E$2:$E419,$E419))</f>
        <v/>
      </c>
      <c r="U419" t="str">
        <f t="shared" si="6"/>
        <v/>
      </c>
    </row>
    <row r="420" spans="20:21" x14ac:dyDescent="0.25">
      <c r="T420" t="str">
        <f>IF($E420="","",COUNTIF($E$2:$E420,$E420))</f>
        <v/>
      </c>
      <c r="U420" t="str">
        <f t="shared" si="6"/>
        <v/>
      </c>
    </row>
    <row r="421" spans="20:21" x14ac:dyDescent="0.25">
      <c r="T421" t="str">
        <f>IF($E421="","",COUNTIF($E$2:$E421,$E421))</f>
        <v/>
      </c>
      <c r="U421" t="str">
        <f t="shared" si="6"/>
        <v/>
      </c>
    </row>
    <row r="422" spans="20:21" x14ac:dyDescent="0.25">
      <c r="T422" t="str">
        <f>IF($E422="","",COUNTIF($E$2:$E422,$E422))</f>
        <v/>
      </c>
      <c r="U422" t="str">
        <f t="shared" si="6"/>
        <v/>
      </c>
    </row>
    <row r="423" spans="20:21" x14ac:dyDescent="0.25">
      <c r="T423" t="str">
        <f>IF($E423="","",COUNTIF($E$2:$E423,$E423))</f>
        <v/>
      </c>
      <c r="U423" t="str">
        <f t="shared" si="6"/>
        <v/>
      </c>
    </row>
    <row r="424" spans="20:21" x14ac:dyDescent="0.25">
      <c r="T424" t="str">
        <f>IF($E424="","",COUNTIF($E$2:$E424,$E424))</f>
        <v/>
      </c>
      <c r="U424" t="str">
        <f t="shared" si="6"/>
        <v/>
      </c>
    </row>
    <row r="425" spans="20:21" x14ac:dyDescent="0.25">
      <c r="T425" t="str">
        <f>IF($E425="","",COUNTIF($E$2:$E425,$E425))</f>
        <v/>
      </c>
      <c r="U425" t="str">
        <f t="shared" si="6"/>
        <v/>
      </c>
    </row>
    <row r="426" spans="20:21" x14ac:dyDescent="0.25">
      <c r="T426" t="str">
        <f>IF($E426="","",COUNTIF($E$2:$E426,$E426))</f>
        <v/>
      </c>
      <c r="U426" t="str">
        <f t="shared" si="6"/>
        <v/>
      </c>
    </row>
    <row r="427" spans="20:21" x14ac:dyDescent="0.25">
      <c r="T427" t="str">
        <f>IF($E427="","",COUNTIF($E$2:$E427,$E427))</f>
        <v/>
      </c>
      <c r="U427" t="str">
        <f t="shared" si="6"/>
        <v/>
      </c>
    </row>
    <row r="428" spans="20:21" x14ac:dyDescent="0.25">
      <c r="T428" t="str">
        <f>IF($E428="","",COUNTIF($E$2:$E428,$E428))</f>
        <v/>
      </c>
      <c r="U428" t="str">
        <f t="shared" si="6"/>
        <v/>
      </c>
    </row>
    <row r="429" spans="20:21" x14ac:dyDescent="0.25">
      <c r="T429" t="str">
        <f>IF($E429="","",COUNTIF($E$2:$E429,$E429))</f>
        <v/>
      </c>
      <c r="U429" t="str">
        <f t="shared" si="6"/>
        <v/>
      </c>
    </row>
    <row r="430" spans="20:21" x14ac:dyDescent="0.25">
      <c r="T430" t="str">
        <f>IF($E430="","",COUNTIF($E$2:$E430,$E430))</f>
        <v/>
      </c>
      <c r="U430" t="str">
        <f t="shared" si="6"/>
        <v/>
      </c>
    </row>
    <row r="431" spans="20:21" x14ac:dyDescent="0.25">
      <c r="T431" t="str">
        <f>IF($E431="","",COUNTIF($E$2:$E431,$E431))</f>
        <v/>
      </c>
      <c r="U431" t="str">
        <f t="shared" si="6"/>
        <v/>
      </c>
    </row>
    <row r="432" spans="20:21" x14ac:dyDescent="0.25">
      <c r="T432" t="str">
        <f>IF($E432="","",COUNTIF($E$2:$E432,$E432))</f>
        <v/>
      </c>
      <c r="U432" t="str">
        <f t="shared" si="6"/>
        <v/>
      </c>
    </row>
    <row r="433" spans="20:21" x14ac:dyDescent="0.25">
      <c r="T433" t="str">
        <f>IF($E433="","",COUNTIF($E$2:$E433,$E433))</f>
        <v/>
      </c>
      <c r="U433" t="str">
        <f t="shared" si="6"/>
        <v/>
      </c>
    </row>
    <row r="434" spans="20:21" x14ac:dyDescent="0.25">
      <c r="T434" t="str">
        <f>IF($E434="","",COUNTIF($E$2:$E434,$E434))</f>
        <v/>
      </c>
      <c r="U434" t="str">
        <f t="shared" si="6"/>
        <v/>
      </c>
    </row>
    <row r="435" spans="20:21" x14ac:dyDescent="0.25">
      <c r="T435" t="str">
        <f>IF($E435="","",COUNTIF($E$2:$E435,$E435))</f>
        <v/>
      </c>
      <c r="U435" t="str">
        <f t="shared" si="6"/>
        <v/>
      </c>
    </row>
    <row r="436" spans="20:21" x14ac:dyDescent="0.25">
      <c r="T436" t="str">
        <f>IF($E436="","",COUNTIF($E$2:$E436,$E436))</f>
        <v/>
      </c>
      <c r="U436" t="str">
        <f t="shared" si="6"/>
        <v/>
      </c>
    </row>
    <row r="437" spans="20:21" x14ac:dyDescent="0.25">
      <c r="T437" t="str">
        <f>IF($E437="","",COUNTIF($E$2:$E437,$E437))</f>
        <v/>
      </c>
      <c r="U437" t="str">
        <f t="shared" si="6"/>
        <v/>
      </c>
    </row>
    <row r="438" spans="20:21" x14ac:dyDescent="0.25">
      <c r="T438" t="str">
        <f>IF($E438="","",COUNTIF($E$2:$E438,$E438))</f>
        <v/>
      </c>
      <c r="U438" t="str">
        <f t="shared" si="6"/>
        <v/>
      </c>
    </row>
    <row r="439" spans="20:21" x14ac:dyDescent="0.25">
      <c r="T439" t="str">
        <f>IF($E439="","",COUNTIF($E$2:$E439,$E439))</f>
        <v/>
      </c>
      <c r="U439" t="str">
        <f t="shared" si="6"/>
        <v/>
      </c>
    </row>
    <row r="440" spans="20:21" x14ac:dyDescent="0.25">
      <c r="T440" t="str">
        <f>IF($E440="","",COUNTIF($E$2:$E440,$E440))</f>
        <v/>
      </c>
      <c r="U440" t="str">
        <f t="shared" si="6"/>
        <v/>
      </c>
    </row>
    <row r="441" spans="20:21" x14ac:dyDescent="0.25">
      <c r="T441" t="str">
        <f>IF($E441="","",COUNTIF($E$2:$E441,$E441))</f>
        <v/>
      </c>
      <c r="U441" t="str">
        <f t="shared" si="6"/>
        <v/>
      </c>
    </row>
    <row r="442" spans="20:21" x14ac:dyDescent="0.25">
      <c r="T442" t="str">
        <f>IF($E442="","",COUNTIF($E$2:$E442,$E442))</f>
        <v/>
      </c>
      <c r="U442" t="str">
        <f t="shared" si="6"/>
        <v/>
      </c>
    </row>
    <row r="443" spans="20:21" x14ac:dyDescent="0.25">
      <c r="T443" t="str">
        <f>IF($E443="","",COUNTIF($E$2:$E443,$E443))</f>
        <v/>
      </c>
      <c r="U443" t="str">
        <f t="shared" si="6"/>
        <v/>
      </c>
    </row>
    <row r="444" spans="20:21" x14ac:dyDescent="0.25">
      <c r="T444" t="str">
        <f>IF($E444="","",COUNTIF($E$2:$E444,$E444))</f>
        <v/>
      </c>
      <c r="U444" t="str">
        <f t="shared" si="6"/>
        <v/>
      </c>
    </row>
    <row r="445" spans="20:21" x14ac:dyDescent="0.25">
      <c r="T445" t="str">
        <f>IF($E445="","",COUNTIF($E$2:$E445,$E445))</f>
        <v/>
      </c>
      <c r="U445" t="str">
        <f t="shared" si="6"/>
        <v/>
      </c>
    </row>
    <row r="446" spans="20:21" x14ac:dyDescent="0.25">
      <c r="T446" t="str">
        <f>IF($E446="","",COUNTIF($E$2:$E446,$E446))</f>
        <v/>
      </c>
      <c r="U446" t="str">
        <f t="shared" si="6"/>
        <v/>
      </c>
    </row>
    <row r="447" spans="20:21" x14ac:dyDescent="0.25">
      <c r="T447" t="str">
        <f>IF($E447="","",COUNTIF($E$2:$E447,$E447))</f>
        <v/>
      </c>
      <c r="U447" t="str">
        <f t="shared" si="6"/>
        <v/>
      </c>
    </row>
    <row r="448" spans="20:21" x14ac:dyDescent="0.25">
      <c r="T448" t="str">
        <f>IF($E448="","",COUNTIF($E$2:$E448,$E448))</f>
        <v/>
      </c>
      <c r="U448" t="str">
        <f t="shared" si="6"/>
        <v/>
      </c>
    </row>
    <row r="449" spans="20:21" x14ac:dyDescent="0.25">
      <c r="T449" t="str">
        <f>IF($E449="","",COUNTIF($E$2:$E449,$E449))</f>
        <v/>
      </c>
      <c r="U449" t="str">
        <f t="shared" si="6"/>
        <v/>
      </c>
    </row>
    <row r="450" spans="20:21" x14ac:dyDescent="0.25">
      <c r="T450" t="str">
        <f>IF($E450="","",COUNTIF($E$2:$E450,$E450))</f>
        <v/>
      </c>
      <c r="U450" t="str">
        <f t="shared" ref="U450:U513" si="7">IF($E450="","",$E450&amp;"|"&amp;T450)</f>
        <v/>
      </c>
    </row>
    <row r="451" spans="20:21" x14ac:dyDescent="0.25">
      <c r="T451" t="str">
        <f>IF($E451="","",COUNTIF($E$2:$E451,$E451))</f>
        <v/>
      </c>
      <c r="U451" t="str">
        <f t="shared" si="7"/>
        <v/>
      </c>
    </row>
    <row r="452" spans="20:21" x14ac:dyDescent="0.25">
      <c r="T452" t="str">
        <f>IF($E452="","",COUNTIF($E$2:$E452,$E452))</f>
        <v/>
      </c>
      <c r="U452" t="str">
        <f t="shared" si="7"/>
        <v/>
      </c>
    </row>
    <row r="453" spans="20:21" x14ac:dyDescent="0.25">
      <c r="T453" t="str">
        <f>IF($E453="","",COUNTIF($E$2:$E453,$E453))</f>
        <v/>
      </c>
      <c r="U453" t="str">
        <f t="shared" si="7"/>
        <v/>
      </c>
    </row>
    <row r="454" spans="20:21" x14ac:dyDescent="0.25">
      <c r="T454" t="str">
        <f>IF($E454="","",COUNTIF($E$2:$E454,$E454))</f>
        <v/>
      </c>
      <c r="U454" t="str">
        <f t="shared" si="7"/>
        <v/>
      </c>
    </row>
    <row r="455" spans="20:21" x14ac:dyDescent="0.25">
      <c r="T455" t="str">
        <f>IF($E455="","",COUNTIF($E$2:$E455,$E455))</f>
        <v/>
      </c>
      <c r="U455" t="str">
        <f t="shared" si="7"/>
        <v/>
      </c>
    </row>
    <row r="456" spans="20:21" x14ac:dyDescent="0.25">
      <c r="T456" t="str">
        <f>IF($E456="","",COUNTIF($E$2:$E456,$E456))</f>
        <v/>
      </c>
      <c r="U456" t="str">
        <f t="shared" si="7"/>
        <v/>
      </c>
    </row>
    <row r="457" spans="20:21" x14ac:dyDescent="0.25">
      <c r="T457" t="str">
        <f>IF($E457="","",COUNTIF($E$2:$E457,$E457))</f>
        <v/>
      </c>
      <c r="U457" t="str">
        <f t="shared" si="7"/>
        <v/>
      </c>
    </row>
    <row r="458" spans="20:21" x14ac:dyDescent="0.25">
      <c r="T458" t="str">
        <f>IF($E458="","",COUNTIF($E$2:$E458,$E458))</f>
        <v/>
      </c>
      <c r="U458" t="str">
        <f t="shared" si="7"/>
        <v/>
      </c>
    </row>
    <row r="459" spans="20:21" x14ac:dyDescent="0.25">
      <c r="T459" t="str">
        <f>IF($E459="","",COUNTIF($E$2:$E459,$E459))</f>
        <v/>
      </c>
      <c r="U459" t="str">
        <f t="shared" si="7"/>
        <v/>
      </c>
    </row>
    <row r="460" spans="20:21" x14ac:dyDescent="0.25">
      <c r="T460" t="str">
        <f>IF($E460="","",COUNTIF($E$2:$E460,$E460))</f>
        <v/>
      </c>
      <c r="U460" t="str">
        <f t="shared" si="7"/>
        <v/>
      </c>
    </row>
    <row r="461" spans="20:21" x14ac:dyDescent="0.25">
      <c r="T461" t="str">
        <f>IF($E461="","",COUNTIF($E$2:$E461,$E461))</f>
        <v/>
      </c>
      <c r="U461" t="str">
        <f t="shared" si="7"/>
        <v/>
      </c>
    </row>
    <row r="462" spans="20:21" x14ac:dyDescent="0.25">
      <c r="T462" t="str">
        <f>IF($E462="","",COUNTIF($E$2:$E462,$E462))</f>
        <v/>
      </c>
      <c r="U462" t="str">
        <f t="shared" si="7"/>
        <v/>
      </c>
    </row>
    <row r="463" spans="20:21" x14ac:dyDescent="0.25">
      <c r="T463" t="str">
        <f>IF($E463="","",COUNTIF($E$2:$E463,$E463))</f>
        <v/>
      </c>
      <c r="U463" t="str">
        <f t="shared" si="7"/>
        <v/>
      </c>
    </row>
    <row r="464" spans="20:21" x14ac:dyDescent="0.25">
      <c r="T464" t="str">
        <f>IF($E464="","",COUNTIF($E$2:$E464,$E464))</f>
        <v/>
      </c>
      <c r="U464" t="str">
        <f t="shared" si="7"/>
        <v/>
      </c>
    </row>
    <row r="465" spans="20:21" x14ac:dyDescent="0.25">
      <c r="T465" t="str">
        <f>IF($E465="","",COUNTIF($E$2:$E465,$E465))</f>
        <v/>
      </c>
      <c r="U465" t="str">
        <f t="shared" si="7"/>
        <v/>
      </c>
    </row>
    <row r="466" spans="20:21" x14ac:dyDescent="0.25">
      <c r="T466" t="str">
        <f>IF($E466="","",COUNTIF($E$2:$E466,$E466))</f>
        <v/>
      </c>
      <c r="U466" t="str">
        <f t="shared" si="7"/>
        <v/>
      </c>
    </row>
    <row r="467" spans="20:21" x14ac:dyDescent="0.25">
      <c r="T467" t="str">
        <f>IF($E467="","",COUNTIF($E$2:$E467,$E467))</f>
        <v/>
      </c>
      <c r="U467" t="str">
        <f t="shared" si="7"/>
        <v/>
      </c>
    </row>
    <row r="468" spans="20:21" x14ac:dyDescent="0.25">
      <c r="T468" t="str">
        <f>IF($E468="","",COUNTIF($E$2:$E468,$E468))</f>
        <v/>
      </c>
      <c r="U468" t="str">
        <f t="shared" si="7"/>
        <v/>
      </c>
    </row>
    <row r="469" spans="20:21" x14ac:dyDescent="0.25">
      <c r="T469" t="str">
        <f>IF($E469="","",COUNTIF($E$2:$E469,$E469))</f>
        <v/>
      </c>
      <c r="U469" t="str">
        <f t="shared" si="7"/>
        <v/>
      </c>
    </row>
    <row r="470" spans="20:21" x14ac:dyDescent="0.25">
      <c r="T470" t="str">
        <f>IF($E470="","",COUNTIF($E$2:$E470,$E470))</f>
        <v/>
      </c>
      <c r="U470" t="str">
        <f t="shared" si="7"/>
        <v/>
      </c>
    </row>
    <row r="471" spans="20:21" x14ac:dyDescent="0.25">
      <c r="T471" t="str">
        <f>IF($E471="","",COUNTIF($E$2:$E471,$E471))</f>
        <v/>
      </c>
      <c r="U471" t="str">
        <f t="shared" si="7"/>
        <v/>
      </c>
    </row>
    <row r="472" spans="20:21" x14ac:dyDescent="0.25">
      <c r="T472" t="str">
        <f>IF($E472="","",COUNTIF($E$2:$E472,$E472))</f>
        <v/>
      </c>
      <c r="U472" t="str">
        <f t="shared" si="7"/>
        <v/>
      </c>
    </row>
    <row r="473" spans="20:21" x14ac:dyDescent="0.25">
      <c r="T473" t="str">
        <f>IF($E473="","",COUNTIF($E$2:$E473,$E473))</f>
        <v/>
      </c>
      <c r="U473" t="str">
        <f t="shared" si="7"/>
        <v/>
      </c>
    </row>
    <row r="474" spans="20:21" x14ac:dyDescent="0.25">
      <c r="T474" t="str">
        <f>IF($E474="","",COUNTIF($E$2:$E474,$E474))</f>
        <v/>
      </c>
      <c r="U474" t="str">
        <f t="shared" si="7"/>
        <v/>
      </c>
    </row>
    <row r="475" spans="20:21" x14ac:dyDescent="0.25">
      <c r="T475" t="str">
        <f>IF($E475="","",COUNTIF($E$2:$E475,$E475))</f>
        <v/>
      </c>
      <c r="U475" t="str">
        <f t="shared" si="7"/>
        <v/>
      </c>
    </row>
    <row r="476" spans="20:21" x14ac:dyDescent="0.25">
      <c r="T476" t="str">
        <f>IF($E476="","",COUNTIF($E$2:$E476,$E476))</f>
        <v/>
      </c>
      <c r="U476" t="str">
        <f t="shared" si="7"/>
        <v/>
      </c>
    </row>
    <row r="477" spans="20:21" x14ac:dyDescent="0.25">
      <c r="T477" t="str">
        <f>IF($E477="","",COUNTIF($E$2:$E477,$E477))</f>
        <v/>
      </c>
      <c r="U477" t="str">
        <f t="shared" si="7"/>
        <v/>
      </c>
    </row>
    <row r="478" spans="20:21" x14ac:dyDescent="0.25">
      <c r="T478" t="str">
        <f>IF($E478="","",COUNTIF($E$2:$E478,$E478))</f>
        <v/>
      </c>
      <c r="U478" t="str">
        <f t="shared" si="7"/>
        <v/>
      </c>
    </row>
    <row r="479" spans="20:21" x14ac:dyDescent="0.25">
      <c r="T479" t="str">
        <f>IF($E479="","",COUNTIF($E$2:$E479,$E479))</f>
        <v/>
      </c>
      <c r="U479" t="str">
        <f t="shared" si="7"/>
        <v/>
      </c>
    </row>
    <row r="480" spans="20:21" x14ac:dyDescent="0.25">
      <c r="T480" t="str">
        <f>IF($E480="","",COUNTIF($E$2:$E480,$E480))</f>
        <v/>
      </c>
      <c r="U480" t="str">
        <f t="shared" si="7"/>
        <v/>
      </c>
    </row>
    <row r="481" spans="20:21" x14ac:dyDescent="0.25">
      <c r="T481" t="str">
        <f>IF($E481="","",COUNTIF($E$2:$E481,$E481))</f>
        <v/>
      </c>
      <c r="U481" t="str">
        <f t="shared" si="7"/>
        <v/>
      </c>
    </row>
    <row r="482" spans="20:21" x14ac:dyDescent="0.25">
      <c r="T482" t="str">
        <f>IF($E482="","",COUNTIF($E$2:$E482,$E482))</f>
        <v/>
      </c>
      <c r="U482" t="str">
        <f t="shared" si="7"/>
        <v/>
      </c>
    </row>
    <row r="483" spans="20:21" x14ac:dyDescent="0.25">
      <c r="T483" t="str">
        <f>IF($E483="","",COUNTIF($E$2:$E483,$E483))</f>
        <v/>
      </c>
      <c r="U483" t="str">
        <f t="shared" si="7"/>
        <v/>
      </c>
    </row>
    <row r="484" spans="20:21" x14ac:dyDescent="0.25">
      <c r="T484" t="str">
        <f>IF($E484="","",COUNTIF($E$2:$E484,$E484))</f>
        <v/>
      </c>
      <c r="U484" t="str">
        <f t="shared" si="7"/>
        <v/>
      </c>
    </row>
    <row r="485" spans="20:21" x14ac:dyDescent="0.25">
      <c r="T485" t="str">
        <f>IF($E485="","",COUNTIF($E$2:$E485,$E485))</f>
        <v/>
      </c>
      <c r="U485" t="str">
        <f t="shared" si="7"/>
        <v/>
      </c>
    </row>
    <row r="486" spans="20:21" x14ac:dyDescent="0.25">
      <c r="T486" t="str">
        <f>IF($E486="","",COUNTIF($E$2:$E486,$E486))</f>
        <v/>
      </c>
      <c r="U486" t="str">
        <f t="shared" si="7"/>
        <v/>
      </c>
    </row>
    <row r="487" spans="20:21" x14ac:dyDescent="0.25">
      <c r="T487" t="str">
        <f>IF($E487="","",COUNTIF($E$2:$E487,$E487))</f>
        <v/>
      </c>
      <c r="U487" t="str">
        <f t="shared" si="7"/>
        <v/>
      </c>
    </row>
    <row r="488" spans="20:21" x14ac:dyDescent="0.25">
      <c r="T488" t="str">
        <f>IF($E488="","",COUNTIF($E$2:$E488,$E488))</f>
        <v/>
      </c>
      <c r="U488" t="str">
        <f t="shared" si="7"/>
        <v/>
      </c>
    </row>
    <row r="489" spans="20:21" x14ac:dyDescent="0.25">
      <c r="T489" t="str">
        <f>IF($E489="","",COUNTIF($E$2:$E489,$E489))</f>
        <v/>
      </c>
      <c r="U489" t="str">
        <f t="shared" si="7"/>
        <v/>
      </c>
    </row>
    <row r="490" spans="20:21" x14ac:dyDescent="0.25">
      <c r="T490" t="str">
        <f>IF($E490="","",COUNTIF($E$2:$E490,$E490))</f>
        <v/>
      </c>
      <c r="U490" t="str">
        <f t="shared" si="7"/>
        <v/>
      </c>
    </row>
    <row r="491" spans="20:21" x14ac:dyDescent="0.25">
      <c r="T491" t="str">
        <f>IF($E491="","",COUNTIF($E$2:$E491,$E491))</f>
        <v/>
      </c>
      <c r="U491" t="str">
        <f t="shared" si="7"/>
        <v/>
      </c>
    </row>
    <row r="492" spans="20:21" x14ac:dyDescent="0.25">
      <c r="T492" t="str">
        <f>IF($E492="","",COUNTIF($E$2:$E492,$E492))</f>
        <v/>
      </c>
      <c r="U492" t="str">
        <f t="shared" si="7"/>
        <v/>
      </c>
    </row>
    <row r="493" spans="20:21" x14ac:dyDescent="0.25">
      <c r="T493" t="str">
        <f>IF($E493="","",COUNTIF($E$2:$E493,$E493))</f>
        <v/>
      </c>
      <c r="U493" t="str">
        <f t="shared" si="7"/>
        <v/>
      </c>
    </row>
    <row r="494" spans="20:21" x14ac:dyDescent="0.25">
      <c r="T494" t="str">
        <f>IF($E494="","",COUNTIF($E$2:$E494,$E494))</f>
        <v/>
      </c>
      <c r="U494" t="str">
        <f t="shared" si="7"/>
        <v/>
      </c>
    </row>
    <row r="495" spans="20:21" x14ac:dyDescent="0.25">
      <c r="T495" t="str">
        <f>IF($E495="","",COUNTIF($E$2:$E495,$E495))</f>
        <v/>
      </c>
      <c r="U495" t="str">
        <f t="shared" si="7"/>
        <v/>
      </c>
    </row>
    <row r="496" spans="20:21" x14ac:dyDescent="0.25">
      <c r="T496" t="str">
        <f>IF($E496="","",COUNTIF($E$2:$E496,$E496))</f>
        <v/>
      </c>
      <c r="U496" t="str">
        <f t="shared" si="7"/>
        <v/>
      </c>
    </row>
    <row r="497" spans="20:21" x14ac:dyDescent="0.25">
      <c r="T497" t="str">
        <f>IF($E497="","",COUNTIF($E$2:$E497,$E497))</f>
        <v/>
      </c>
      <c r="U497" t="str">
        <f t="shared" si="7"/>
        <v/>
      </c>
    </row>
    <row r="498" spans="20:21" x14ac:dyDescent="0.25">
      <c r="T498" t="str">
        <f>IF($E498="","",COUNTIF($E$2:$E498,$E498))</f>
        <v/>
      </c>
      <c r="U498" t="str">
        <f t="shared" si="7"/>
        <v/>
      </c>
    </row>
    <row r="499" spans="20:21" x14ac:dyDescent="0.25">
      <c r="T499" t="str">
        <f>IF($E499="","",COUNTIF($E$2:$E499,$E499))</f>
        <v/>
      </c>
      <c r="U499" t="str">
        <f t="shared" si="7"/>
        <v/>
      </c>
    </row>
    <row r="500" spans="20:21" x14ac:dyDescent="0.25">
      <c r="T500" t="str">
        <f>IF($E500="","",COUNTIF($E$2:$E500,$E500))</f>
        <v/>
      </c>
      <c r="U500" t="str">
        <f t="shared" si="7"/>
        <v/>
      </c>
    </row>
    <row r="501" spans="20:21" x14ac:dyDescent="0.25">
      <c r="T501" t="str">
        <f>IF($E501="","",COUNTIF($E$2:$E501,$E501))</f>
        <v/>
      </c>
      <c r="U501" t="str">
        <f t="shared" si="7"/>
        <v/>
      </c>
    </row>
    <row r="502" spans="20:21" x14ac:dyDescent="0.25">
      <c r="T502" t="str">
        <f>IF($E502="","",COUNTIF($E$2:$E502,$E502))</f>
        <v/>
      </c>
      <c r="U502" t="str">
        <f t="shared" si="7"/>
        <v/>
      </c>
    </row>
    <row r="503" spans="20:21" x14ac:dyDescent="0.25">
      <c r="T503" t="str">
        <f>IF($E503="","",COUNTIF($E$2:$E503,$E503))</f>
        <v/>
      </c>
      <c r="U503" t="str">
        <f t="shared" si="7"/>
        <v/>
      </c>
    </row>
    <row r="504" spans="20:21" x14ac:dyDescent="0.25">
      <c r="T504" t="str">
        <f>IF($E504="","",COUNTIF($E$2:$E504,$E504))</f>
        <v/>
      </c>
      <c r="U504" t="str">
        <f t="shared" si="7"/>
        <v/>
      </c>
    </row>
    <row r="505" spans="20:21" x14ac:dyDescent="0.25">
      <c r="T505" t="str">
        <f>IF($E505="","",COUNTIF($E$2:$E505,$E505))</f>
        <v/>
      </c>
      <c r="U505" t="str">
        <f t="shared" si="7"/>
        <v/>
      </c>
    </row>
    <row r="506" spans="20:21" x14ac:dyDescent="0.25">
      <c r="T506" t="str">
        <f>IF($E506="","",COUNTIF($E$2:$E506,$E506))</f>
        <v/>
      </c>
      <c r="U506" t="str">
        <f t="shared" si="7"/>
        <v/>
      </c>
    </row>
    <row r="507" spans="20:21" x14ac:dyDescent="0.25">
      <c r="T507" t="str">
        <f>IF($E507="","",COUNTIF($E$2:$E507,$E507))</f>
        <v/>
      </c>
      <c r="U507" t="str">
        <f t="shared" si="7"/>
        <v/>
      </c>
    </row>
    <row r="508" spans="20:21" x14ac:dyDescent="0.25">
      <c r="T508" t="str">
        <f>IF($E508="","",COUNTIF($E$2:$E508,$E508))</f>
        <v/>
      </c>
      <c r="U508" t="str">
        <f t="shared" si="7"/>
        <v/>
      </c>
    </row>
    <row r="509" spans="20:21" x14ac:dyDescent="0.25">
      <c r="T509" t="str">
        <f>IF($E509="","",COUNTIF($E$2:$E509,$E509))</f>
        <v/>
      </c>
      <c r="U509" t="str">
        <f t="shared" si="7"/>
        <v/>
      </c>
    </row>
    <row r="510" spans="20:21" x14ac:dyDescent="0.25">
      <c r="T510" t="str">
        <f>IF($E510="","",COUNTIF($E$2:$E510,$E510))</f>
        <v/>
      </c>
      <c r="U510" t="str">
        <f t="shared" si="7"/>
        <v/>
      </c>
    </row>
    <row r="511" spans="20:21" x14ac:dyDescent="0.25">
      <c r="T511" t="str">
        <f>IF($E511="","",COUNTIF($E$2:$E511,$E511))</f>
        <v/>
      </c>
      <c r="U511" t="str">
        <f t="shared" si="7"/>
        <v/>
      </c>
    </row>
    <row r="512" spans="20:21" x14ac:dyDescent="0.25">
      <c r="T512" t="str">
        <f>IF($E512="","",COUNTIF($E$2:$E512,$E512))</f>
        <v/>
      </c>
      <c r="U512" t="str">
        <f t="shared" si="7"/>
        <v/>
      </c>
    </row>
    <row r="513" spans="20:21" x14ac:dyDescent="0.25">
      <c r="T513" t="str">
        <f>IF($E513="","",COUNTIF($E$2:$E513,$E513))</f>
        <v/>
      </c>
      <c r="U513" t="str">
        <f t="shared" si="7"/>
        <v/>
      </c>
    </row>
    <row r="514" spans="20:21" x14ac:dyDescent="0.25">
      <c r="T514" t="str">
        <f>IF($E514="","",COUNTIF($E$2:$E514,$E514))</f>
        <v/>
      </c>
      <c r="U514" t="str">
        <f t="shared" ref="U514:U577" si="8">IF($E514="","",$E514&amp;"|"&amp;T514)</f>
        <v/>
      </c>
    </row>
    <row r="515" spans="20:21" x14ac:dyDescent="0.25">
      <c r="T515" t="str">
        <f>IF($E515="","",COUNTIF($E$2:$E515,$E515))</f>
        <v/>
      </c>
      <c r="U515" t="str">
        <f t="shared" si="8"/>
        <v/>
      </c>
    </row>
    <row r="516" spans="20:21" x14ac:dyDescent="0.25">
      <c r="T516" t="str">
        <f>IF($E516="","",COUNTIF($E$2:$E516,$E516))</f>
        <v/>
      </c>
      <c r="U516" t="str">
        <f t="shared" si="8"/>
        <v/>
      </c>
    </row>
    <row r="517" spans="20:21" x14ac:dyDescent="0.25">
      <c r="T517" t="str">
        <f>IF($E517="","",COUNTIF($E$2:$E517,$E517))</f>
        <v/>
      </c>
      <c r="U517" t="str">
        <f t="shared" si="8"/>
        <v/>
      </c>
    </row>
    <row r="518" spans="20:21" x14ac:dyDescent="0.25">
      <c r="T518" t="str">
        <f>IF($E518="","",COUNTIF($E$2:$E518,$E518))</f>
        <v/>
      </c>
      <c r="U518" t="str">
        <f t="shared" si="8"/>
        <v/>
      </c>
    </row>
    <row r="519" spans="20:21" x14ac:dyDescent="0.25">
      <c r="T519" t="str">
        <f>IF($E519="","",COUNTIF($E$2:$E519,$E519))</f>
        <v/>
      </c>
      <c r="U519" t="str">
        <f t="shared" si="8"/>
        <v/>
      </c>
    </row>
    <row r="520" spans="20:21" x14ac:dyDescent="0.25">
      <c r="T520" t="str">
        <f>IF($E520="","",COUNTIF($E$2:$E520,$E520))</f>
        <v/>
      </c>
      <c r="U520" t="str">
        <f t="shared" si="8"/>
        <v/>
      </c>
    </row>
    <row r="521" spans="20:21" x14ac:dyDescent="0.25">
      <c r="T521" t="str">
        <f>IF($E521="","",COUNTIF($E$2:$E521,$E521))</f>
        <v/>
      </c>
      <c r="U521" t="str">
        <f t="shared" si="8"/>
        <v/>
      </c>
    </row>
    <row r="522" spans="20:21" x14ac:dyDescent="0.25">
      <c r="T522" t="str">
        <f>IF($E522="","",COUNTIF($E$2:$E522,$E522))</f>
        <v/>
      </c>
      <c r="U522" t="str">
        <f t="shared" si="8"/>
        <v/>
      </c>
    </row>
    <row r="523" spans="20:21" x14ac:dyDescent="0.25">
      <c r="T523" t="str">
        <f>IF($E523="","",COUNTIF($E$2:$E523,$E523))</f>
        <v/>
      </c>
      <c r="U523" t="str">
        <f t="shared" si="8"/>
        <v/>
      </c>
    </row>
    <row r="524" spans="20:21" x14ac:dyDescent="0.25">
      <c r="T524" t="str">
        <f>IF($E524="","",COUNTIF($E$2:$E524,$E524))</f>
        <v/>
      </c>
      <c r="U524" t="str">
        <f t="shared" si="8"/>
        <v/>
      </c>
    </row>
    <row r="525" spans="20:21" x14ac:dyDescent="0.25">
      <c r="T525" t="str">
        <f>IF($E525="","",COUNTIF($E$2:$E525,$E525))</f>
        <v/>
      </c>
      <c r="U525" t="str">
        <f t="shared" si="8"/>
        <v/>
      </c>
    </row>
    <row r="526" spans="20:21" x14ac:dyDescent="0.25">
      <c r="T526" t="str">
        <f>IF($E526="","",COUNTIF($E$2:$E526,$E526))</f>
        <v/>
      </c>
      <c r="U526" t="str">
        <f t="shared" si="8"/>
        <v/>
      </c>
    </row>
    <row r="527" spans="20:21" x14ac:dyDescent="0.25">
      <c r="T527" t="str">
        <f>IF($E527="","",COUNTIF($E$2:$E527,$E527))</f>
        <v/>
      </c>
      <c r="U527" t="str">
        <f t="shared" si="8"/>
        <v/>
      </c>
    </row>
    <row r="528" spans="20:21" x14ac:dyDescent="0.25">
      <c r="T528" t="str">
        <f>IF($E528="","",COUNTIF($E$2:$E528,$E528))</f>
        <v/>
      </c>
      <c r="U528" t="str">
        <f t="shared" si="8"/>
        <v/>
      </c>
    </row>
    <row r="529" spans="20:21" x14ac:dyDescent="0.25">
      <c r="T529" t="str">
        <f>IF($E529="","",COUNTIF($E$2:$E529,$E529))</f>
        <v/>
      </c>
      <c r="U529" t="str">
        <f t="shared" si="8"/>
        <v/>
      </c>
    </row>
    <row r="530" spans="20:21" x14ac:dyDescent="0.25">
      <c r="T530" t="str">
        <f>IF($E530="","",COUNTIF($E$2:$E530,$E530))</f>
        <v/>
      </c>
      <c r="U530" t="str">
        <f t="shared" si="8"/>
        <v/>
      </c>
    </row>
    <row r="531" spans="20:21" x14ac:dyDescent="0.25">
      <c r="T531" t="str">
        <f>IF($E531="","",COUNTIF($E$2:$E531,$E531))</f>
        <v/>
      </c>
      <c r="U531" t="str">
        <f t="shared" si="8"/>
        <v/>
      </c>
    </row>
    <row r="532" spans="20:21" x14ac:dyDescent="0.25">
      <c r="T532" t="str">
        <f>IF($E532="","",COUNTIF($E$2:$E532,$E532))</f>
        <v/>
      </c>
      <c r="U532" t="str">
        <f t="shared" si="8"/>
        <v/>
      </c>
    </row>
    <row r="533" spans="20:21" x14ac:dyDescent="0.25">
      <c r="T533" t="str">
        <f>IF($E533="","",COUNTIF($E$2:$E533,$E533))</f>
        <v/>
      </c>
      <c r="U533" t="str">
        <f t="shared" si="8"/>
        <v/>
      </c>
    </row>
    <row r="534" spans="20:21" x14ac:dyDescent="0.25">
      <c r="T534" t="str">
        <f>IF($E534="","",COUNTIF($E$2:$E534,$E534))</f>
        <v/>
      </c>
      <c r="U534" t="str">
        <f t="shared" si="8"/>
        <v/>
      </c>
    </row>
    <row r="535" spans="20:21" x14ac:dyDescent="0.25">
      <c r="T535" t="str">
        <f>IF($E535="","",COUNTIF($E$2:$E535,$E535))</f>
        <v/>
      </c>
      <c r="U535" t="str">
        <f t="shared" si="8"/>
        <v/>
      </c>
    </row>
    <row r="536" spans="20:21" x14ac:dyDescent="0.25">
      <c r="T536" t="str">
        <f>IF($E536="","",COUNTIF($E$2:$E536,$E536))</f>
        <v/>
      </c>
      <c r="U536" t="str">
        <f t="shared" si="8"/>
        <v/>
      </c>
    </row>
    <row r="537" spans="20:21" x14ac:dyDescent="0.25">
      <c r="T537" t="str">
        <f>IF($E537="","",COUNTIF($E$2:$E537,$E537))</f>
        <v/>
      </c>
      <c r="U537" t="str">
        <f t="shared" si="8"/>
        <v/>
      </c>
    </row>
    <row r="538" spans="20:21" x14ac:dyDescent="0.25">
      <c r="T538" t="str">
        <f>IF($E538="","",COUNTIF($E$2:$E538,$E538))</f>
        <v/>
      </c>
      <c r="U538" t="str">
        <f t="shared" si="8"/>
        <v/>
      </c>
    </row>
    <row r="539" spans="20:21" x14ac:dyDescent="0.25">
      <c r="T539" t="str">
        <f>IF($E539="","",COUNTIF($E$2:$E539,$E539))</f>
        <v/>
      </c>
      <c r="U539" t="str">
        <f t="shared" si="8"/>
        <v/>
      </c>
    </row>
    <row r="540" spans="20:21" x14ac:dyDescent="0.25">
      <c r="T540" t="str">
        <f>IF($E540="","",COUNTIF($E$2:$E540,$E540))</f>
        <v/>
      </c>
      <c r="U540" t="str">
        <f t="shared" si="8"/>
        <v/>
      </c>
    </row>
    <row r="541" spans="20:21" x14ac:dyDescent="0.25">
      <c r="T541" t="str">
        <f>IF($E541="","",COUNTIF($E$2:$E541,$E541))</f>
        <v/>
      </c>
      <c r="U541" t="str">
        <f t="shared" si="8"/>
        <v/>
      </c>
    </row>
    <row r="542" spans="20:21" x14ac:dyDescent="0.25">
      <c r="T542" t="str">
        <f>IF($E542="","",COUNTIF($E$2:$E542,$E542))</f>
        <v/>
      </c>
      <c r="U542" t="str">
        <f t="shared" si="8"/>
        <v/>
      </c>
    </row>
    <row r="543" spans="20:21" x14ac:dyDescent="0.25">
      <c r="T543" t="str">
        <f>IF($E543="","",COUNTIF($E$2:$E543,$E543))</f>
        <v/>
      </c>
      <c r="U543" t="str">
        <f t="shared" si="8"/>
        <v/>
      </c>
    </row>
    <row r="544" spans="20:21" x14ac:dyDescent="0.25">
      <c r="T544" t="str">
        <f>IF($E544="","",COUNTIF($E$2:$E544,$E544))</f>
        <v/>
      </c>
      <c r="U544" t="str">
        <f t="shared" si="8"/>
        <v/>
      </c>
    </row>
    <row r="545" spans="20:21" x14ac:dyDescent="0.25">
      <c r="T545" t="str">
        <f>IF($E545="","",COUNTIF($E$2:$E545,$E545))</f>
        <v/>
      </c>
      <c r="U545" t="str">
        <f t="shared" si="8"/>
        <v/>
      </c>
    </row>
    <row r="546" spans="20:21" x14ac:dyDescent="0.25">
      <c r="T546" t="str">
        <f>IF($E546="","",COUNTIF($E$2:$E546,$E546))</f>
        <v/>
      </c>
      <c r="U546" t="str">
        <f t="shared" si="8"/>
        <v/>
      </c>
    </row>
    <row r="547" spans="20:21" x14ac:dyDescent="0.25">
      <c r="T547" t="str">
        <f>IF($E547="","",COUNTIF($E$2:$E547,$E547))</f>
        <v/>
      </c>
      <c r="U547" t="str">
        <f t="shared" si="8"/>
        <v/>
      </c>
    </row>
    <row r="548" spans="20:21" x14ac:dyDescent="0.25">
      <c r="T548" t="str">
        <f>IF($E548="","",COUNTIF($E$2:$E548,$E548))</f>
        <v/>
      </c>
      <c r="U548" t="str">
        <f t="shared" si="8"/>
        <v/>
      </c>
    </row>
    <row r="549" spans="20:21" x14ac:dyDescent="0.25">
      <c r="T549" t="str">
        <f>IF($E549="","",COUNTIF($E$2:$E549,$E549))</f>
        <v/>
      </c>
      <c r="U549" t="str">
        <f t="shared" si="8"/>
        <v/>
      </c>
    </row>
    <row r="550" spans="20:21" x14ac:dyDescent="0.25">
      <c r="T550" t="str">
        <f>IF($E550="","",COUNTIF($E$2:$E550,$E550))</f>
        <v/>
      </c>
      <c r="U550" t="str">
        <f t="shared" si="8"/>
        <v/>
      </c>
    </row>
    <row r="551" spans="20:21" x14ac:dyDescent="0.25">
      <c r="T551" t="str">
        <f>IF($E551="","",COUNTIF($E$2:$E551,$E551))</f>
        <v/>
      </c>
      <c r="U551" t="str">
        <f t="shared" si="8"/>
        <v/>
      </c>
    </row>
    <row r="552" spans="20:21" x14ac:dyDescent="0.25">
      <c r="T552" t="str">
        <f>IF($E552="","",COUNTIF($E$2:$E552,$E552))</f>
        <v/>
      </c>
      <c r="U552" t="str">
        <f t="shared" si="8"/>
        <v/>
      </c>
    </row>
    <row r="553" spans="20:21" x14ac:dyDescent="0.25">
      <c r="T553" t="str">
        <f>IF($E553="","",COUNTIF($E$2:$E553,$E553))</f>
        <v/>
      </c>
      <c r="U553" t="str">
        <f t="shared" si="8"/>
        <v/>
      </c>
    </row>
    <row r="554" spans="20:21" x14ac:dyDescent="0.25">
      <c r="T554" t="str">
        <f>IF($E554="","",COUNTIF($E$2:$E554,$E554))</f>
        <v/>
      </c>
      <c r="U554" t="str">
        <f t="shared" si="8"/>
        <v/>
      </c>
    </row>
    <row r="555" spans="20:21" x14ac:dyDescent="0.25">
      <c r="T555" t="str">
        <f>IF($E555="","",COUNTIF($E$2:$E555,$E555))</f>
        <v/>
      </c>
      <c r="U555" t="str">
        <f t="shared" si="8"/>
        <v/>
      </c>
    </row>
    <row r="556" spans="20:21" x14ac:dyDescent="0.25">
      <c r="T556" t="str">
        <f>IF($E556="","",COUNTIF($E$2:$E556,$E556))</f>
        <v/>
      </c>
      <c r="U556" t="str">
        <f t="shared" si="8"/>
        <v/>
      </c>
    </row>
    <row r="557" spans="20:21" x14ac:dyDescent="0.25">
      <c r="T557" t="str">
        <f>IF($E557="","",COUNTIF($E$2:$E557,$E557))</f>
        <v/>
      </c>
      <c r="U557" t="str">
        <f t="shared" si="8"/>
        <v/>
      </c>
    </row>
    <row r="558" spans="20:21" x14ac:dyDescent="0.25">
      <c r="T558" t="str">
        <f>IF($E558="","",COUNTIF($E$2:$E558,$E558))</f>
        <v/>
      </c>
      <c r="U558" t="str">
        <f t="shared" si="8"/>
        <v/>
      </c>
    </row>
    <row r="559" spans="20:21" x14ac:dyDescent="0.25">
      <c r="T559" t="str">
        <f>IF($E559="","",COUNTIF($E$2:$E559,$E559))</f>
        <v/>
      </c>
      <c r="U559" t="str">
        <f t="shared" si="8"/>
        <v/>
      </c>
    </row>
    <row r="560" spans="20:21" x14ac:dyDescent="0.25">
      <c r="T560" t="str">
        <f>IF($E560="","",COUNTIF($E$2:$E560,$E560))</f>
        <v/>
      </c>
      <c r="U560" t="str">
        <f t="shared" si="8"/>
        <v/>
      </c>
    </row>
    <row r="561" spans="20:21" x14ac:dyDescent="0.25">
      <c r="T561" t="str">
        <f>IF($E561="","",COUNTIF($E$2:$E561,$E561))</f>
        <v/>
      </c>
      <c r="U561" t="str">
        <f t="shared" si="8"/>
        <v/>
      </c>
    </row>
    <row r="562" spans="20:21" x14ac:dyDescent="0.25">
      <c r="T562" t="str">
        <f>IF($E562="","",COUNTIF($E$2:$E562,$E562))</f>
        <v/>
      </c>
      <c r="U562" t="str">
        <f t="shared" si="8"/>
        <v/>
      </c>
    </row>
    <row r="563" spans="20:21" x14ac:dyDescent="0.25">
      <c r="T563" t="str">
        <f>IF($E563="","",COUNTIF($E$2:$E563,$E563))</f>
        <v/>
      </c>
      <c r="U563" t="str">
        <f t="shared" si="8"/>
        <v/>
      </c>
    </row>
    <row r="564" spans="20:21" x14ac:dyDescent="0.25">
      <c r="T564" t="str">
        <f>IF($E564="","",COUNTIF($E$2:$E564,$E564))</f>
        <v/>
      </c>
      <c r="U564" t="str">
        <f t="shared" si="8"/>
        <v/>
      </c>
    </row>
    <row r="565" spans="20:21" x14ac:dyDescent="0.25">
      <c r="T565" t="str">
        <f>IF($E565="","",COUNTIF($E$2:$E565,$E565))</f>
        <v/>
      </c>
      <c r="U565" t="str">
        <f t="shared" si="8"/>
        <v/>
      </c>
    </row>
    <row r="566" spans="20:21" x14ac:dyDescent="0.25">
      <c r="T566" t="str">
        <f>IF($E566="","",COUNTIF($E$2:$E566,$E566))</f>
        <v/>
      </c>
      <c r="U566" t="str">
        <f t="shared" si="8"/>
        <v/>
      </c>
    </row>
    <row r="567" spans="20:21" x14ac:dyDescent="0.25">
      <c r="T567" t="str">
        <f>IF($E567="","",COUNTIF($E$2:$E567,$E567))</f>
        <v/>
      </c>
      <c r="U567" t="str">
        <f t="shared" si="8"/>
        <v/>
      </c>
    </row>
    <row r="568" spans="20:21" x14ac:dyDescent="0.25">
      <c r="T568" t="str">
        <f>IF($E568="","",COUNTIF($E$2:$E568,$E568))</f>
        <v/>
      </c>
      <c r="U568" t="str">
        <f t="shared" si="8"/>
        <v/>
      </c>
    </row>
    <row r="569" spans="20:21" x14ac:dyDescent="0.25">
      <c r="T569" t="str">
        <f>IF($E569="","",COUNTIF($E$2:$E569,$E569))</f>
        <v/>
      </c>
      <c r="U569" t="str">
        <f t="shared" si="8"/>
        <v/>
      </c>
    </row>
    <row r="570" spans="20:21" x14ac:dyDescent="0.25">
      <c r="T570" t="str">
        <f>IF($E570="","",COUNTIF($E$2:$E570,$E570))</f>
        <v/>
      </c>
      <c r="U570" t="str">
        <f t="shared" si="8"/>
        <v/>
      </c>
    </row>
    <row r="571" spans="20:21" x14ac:dyDescent="0.25">
      <c r="T571" t="str">
        <f>IF($E571="","",COUNTIF($E$2:$E571,$E571))</f>
        <v/>
      </c>
      <c r="U571" t="str">
        <f t="shared" si="8"/>
        <v/>
      </c>
    </row>
    <row r="572" spans="20:21" x14ac:dyDescent="0.25">
      <c r="T572" t="str">
        <f>IF($E572="","",COUNTIF($E$2:$E572,$E572))</f>
        <v/>
      </c>
      <c r="U572" t="str">
        <f t="shared" si="8"/>
        <v/>
      </c>
    </row>
    <row r="573" spans="20:21" x14ac:dyDescent="0.25">
      <c r="T573" t="str">
        <f>IF($E573="","",COUNTIF($E$2:$E573,$E573))</f>
        <v/>
      </c>
      <c r="U573" t="str">
        <f t="shared" si="8"/>
        <v/>
      </c>
    </row>
    <row r="574" spans="20:21" x14ac:dyDescent="0.25">
      <c r="T574" t="str">
        <f>IF($E574="","",COUNTIF($E$2:$E574,$E574))</f>
        <v/>
      </c>
      <c r="U574" t="str">
        <f t="shared" si="8"/>
        <v/>
      </c>
    </row>
    <row r="575" spans="20:21" x14ac:dyDescent="0.25">
      <c r="T575" t="str">
        <f>IF($E575="","",COUNTIF($E$2:$E575,$E575))</f>
        <v/>
      </c>
      <c r="U575" t="str">
        <f t="shared" si="8"/>
        <v/>
      </c>
    </row>
    <row r="576" spans="20:21" x14ac:dyDescent="0.25">
      <c r="T576" t="str">
        <f>IF($E576="","",COUNTIF($E$2:$E576,$E576))</f>
        <v/>
      </c>
      <c r="U576" t="str">
        <f t="shared" si="8"/>
        <v/>
      </c>
    </row>
    <row r="577" spans="20:21" x14ac:dyDescent="0.25">
      <c r="T577" t="str">
        <f>IF($E577="","",COUNTIF($E$2:$E577,$E577))</f>
        <v/>
      </c>
      <c r="U577" t="str">
        <f t="shared" si="8"/>
        <v/>
      </c>
    </row>
    <row r="578" spans="20:21" x14ac:dyDescent="0.25">
      <c r="T578" t="str">
        <f>IF($E578="","",COUNTIF($E$2:$E578,$E578))</f>
        <v/>
      </c>
      <c r="U578" t="str">
        <f t="shared" ref="U578:U641" si="9">IF($E578="","",$E578&amp;"|"&amp;T578)</f>
        <v/>
      </c>
    </row>
    <row r="579" spans="20:21" x14ac:dyDescent="0.25">
      <c r="T579" t="str">
        <f>IF($E579="","",COUNTIF($E$2:$E579,$E579))</f>
        <v/>
      </c>
      <c r="U579" t="str">
        <f t="shared" si="9"/>
        <v/>
      </c>
    </row>
    <row r="580" spans="20:21" x14ac:dyDescent="0.25">
      <c r="T580" t="str">
        <f>IF($E580="","",COUNTIF($E$2:$E580,$E580))</f>
        <v/>
      </c>
      <c r="U580" t="str">
        <f t="shared" si="9"/>
        <v/>
      </c>
    </row>
    <row r="581" spans="20:21" x14ac:dyDescent="0.25">
      <c r="T581" t="str">
        <f>IF($E581="","",COUNTIF($E$2:$E581,$E581))</f>
        <v/>
      </c>
      <c r="U581" t="str">
        <f t="shared" si="9"/>
        <v/>
      </c>
    </row>
    <row r="582" spans="20:21" x14ac:dyDescent="0.25">
      <c r="T582" t="str">
        <f>IF($E582="","",COUNTIF($E$2:$E582,$E582))</f>
        <v/>
      </c>
      <c r="U582" t="str">
        <f t="shared" si="9"/>
        <v/>
      </c>
    </row>
    <row r="583" spans="20:21" x14ac:dyDescent="0.25">
      <c r="T583" t="str">
        <f>IF($E583="","",COUNTIF($E$2:$E583,$E583))</f>
        <v/>
      </c>
      <c r="U583" t="str">
        <f t="shared" si="9"/>
        <v/>
      </c>
    </row>
    <row r="584" spans="20:21" x14ac:dyDescent="0.25">
      <c r="T584" t="str">
        <f>IF($E584="","",COUNTIF($E$2:$E584,$E584))</f>
        <v/>
      </c>
      <c r="U584" t="str">
        <f t="shared" si="9"/>
        <v/>
      </c>
    </row>
    <row r="585" spans="20:21" x14ac:dyDescent="0.25">
      <c r="T585" t="str">
        <f>IF($E585="","",COUNTIF($E$2:$E585,$E585))</f>
        <v/>
      </c>
      <c r="U585" t="str">
        <f t="shared" si="9"/>
        <v/>
      </c>
    </row>
    <row r="586" spans="20:21" x14ac:dyDescent="0.25">
      <c r="T586" t="str">
        <f>IF($E586="","",COUNTIF($E$2:$E586,$E586))</f>
        <v/>
      </c>
      <c r="U586" t="str">
        <f t="shared" si="9"/>
        <v/>
      </c>
    </row>
    <row r="587" spans="20:21" x14ac:dyDescent="0.25">
      <c r="T587" t="str">
        <f>IF($E587="","",COUNTIF($E$2:$E587,$E587))</f>
        <v/>
      </c>
      <c r="U587" t="str">
        <f t="shared" si="9"/>
        <v/>
      </c>
    </row>
    <row r="588" spans="20:21" x14ac:dyDescent="0.25">
      <c r="T588" t="str">
        <f>IF($E588="","",COUNTIF($E$2:$E588,$E588))</f>
        <v/>
      </c>
      <c r="U588" t="str">
        <f t="shared" si="9"/>
        <v/>
      </c>
    </row>
    <row r="589" spans="20:21" x14ac:dyDescent="0.25">
      <c r="T589" t="str">
        <f>IF($E589="","",COUNTIF($E$2:$E589,$E589))</f>
        <v/>
      </c>
      <c r="U589" t="str">
        <f t="shared" si="9"/>
        <v/>
      </c>
    </row>
    <row r="590" spans="20:21" x14ac:dyDescent="0.25">
      <c r="T590" t="str">
        <f>IF($E590="","",COUNTIF($E$2:$E590,$E590))</f>
        <v/>
      </c>
      <c r="U590" t="str">
        <f t="shared" si="9"/>
        <v/>
      </c>
    </row>
    <row r="591" spans="20:21" x14ac:dyDescent="0.25">
      <c r="T591" t="str">
        <f>IF($E591="","",COUNTIF($E$2:$E591,$E591))</f>
        <v/>
      </c>
      <c r="U591" t="str">
        <f t="shared" si="9"/>
        <v/>
      </c>
    </row>
    <row r="592" spans="20:21" x14ac:dyDescent="0.25">
      <c r="T592" t="str">
        <f>IF($E592="","",COUNTIF($E$2:$E592,$E592))</f>
        <v/>
      </c>
      <c r="U592" t="str">
        <f t="shared" si="9"/>
        <v/>
      </c>
    </row>
    <row r="593" spans="20:21" x14ac:dyDescent="0.25">
      <c r="T593" t="str">
        <f>IF($E593="","",COUNTIF($E$2:$E593,$E593))</f>
        <v/>
      </c>
      <c r="U593" t="str">
        <f t="shared" si="9"/>
        <v/>
      </c>
    </row>
    <row r="594" spans="20:21" x14ac:dyDescent="0.25">
      <c r="T594" t="str">
        <f>IF($E594="","",COUNTIF($E$2:$E594,$E594))</f>
        <v/>
      </c>
      <c r="U594" t="str">
        <f t="shared" si="9"/>
        <v/>
      </c>
    </row>
    <row r="595" spans="20:21" x14ac:dyDescent="0.25">
      <c r="T595" t="str">
        <f>IF($E595="","",COUNTIF($E$2:$E595,$E595))</f>
        <v/>
      </c>
      <c r="U595" t="str">
        <f t="shared" si="9"/>
        <v/>
      </c>
    </row>
    <row r="596" spans="20:21" x14ac:dyDescent="0.25">
      <c r="T596" t="str">
        <f>IF($E596="","",COUNTIF($E$2:$E596,$E596))</f>
        <v/>
      </c>
      <c r="U596" t="str">
        <f t="shared" si="9"/>
        <v/>
      </c>
    </row>
    <row r="597" spans="20:21" x14ac:dyDescent="0.25">
      <c r="T597" t="str">
        <f>IF($E597="","",COUNTIF($E$2:$E597,$E597))</f>
        <v/>
      </c>
      <c r="U597" t="str">
        <f t="shared" si="9"/>
        <v/>
      </c>
    </row>
    <row r="598" spans="20:21" x14ac:dyDescent="0.25">
      <c r="T598" t="str">
        <f>IF($E598="","",COUNTIF($E$2:$E598,$E598))</f>
        <v/>
      </c>
      <c r="U598" t="str">
        <f t="shared" si="9"/>
        <v/>
      </c>
    </row>
    <row r="599" spans="20:21" x14ac:dyDescent="0.25">
      <c r="T599" t="str">
        <f>IF($E599="","",COUNTIF($E$2:$E599,$E599))</f>
        <v/>
      </c>
      <c r="U599" t="str">
        <f t="shared" si="9"/>
        <v/>
      </c>
    </row>
    <row r="600" spans="20:21" x14ac:dyDescent="0.25">
      <c r="T600" t="str">
        <f>IF($E600="","",COUNTIF($E$2:$E600,$E600))</f>
        <v/>
      </c>
      <c r="U600" t="str">
        <f t="shared" si="9"/>
        <v/>
      </c>
    </row>
    <row r="601" spans="20:21" x14ac:dyDescent="0.25">
      <c r="T601" t="str">
        <f>IF($E601="","",COUNTIF($E$2:$E601,$E601))</f>
        <v/>
      </c>
      <c r="U601" t="str">
        <f t="shared" si="9"/>
        <v/>
      </c>
    </row>
    <row r="602" spans="20:21" x14ac:dyDescent="0.25">
      <c r="T602" t="str">
        <f>IF($E602="","",COUNTIF($E$2:$E602,$E602))</f>
        <v/>
      </c>
      <c r="U602" t="str">
        <f t="shared" si="9"/>
        <v/>
      </c>
    </row>
    <row r="603" spans="20:21" x14ac:dyDescent="0.25">
      <c r="T603" t="str">
        <f>IF($E603="","",COUNTIF($E$2:$E603,$E603))</f>
        <v/>
      </c>
      <c r="U603" t="str">
        <f t="shared" si="9"/>
        <v/>
      </c>
    </row>
    <row r="604" spans="20:21" x14ac:dyDescent="0.25">
      <c r="T604" t="str">
        <f>IF($E604="","",COUNTIF($E$2:$E604,$E604))</f>
        <v/>
      </c>
      <c r="U604" t="str">
        <f t="shared" si="9"/>
        <v/>
      </c>
    </row>
    <row r="605" spans="20:21" x14ac:dyDescent="0.25">
      <c r="T605" t="str">
        <f>IF($E605="","",COUNTIF($E$2:$E605,$E605))</f>
        <v/>
      </c>
      <c r="U605" t="str">
        <f t="shared" si="9"/>
        <v/>
      </c>
    </row>
    <row r="606" spans="20:21" x14ac:dyDescent="0.25">
      <c r="T606" t="str">
        <f>IF($E606="","",COUNTIF($E$2:$E606,$E606))</f>
        <v/>
      </c>
      <c r="U606" t="str">
        <f t="shared" si="9"/>
        <v/>
      </c>
    </row>
    <row r="607" spans="20:21" x14ac:dyDescent="0.25">
      <c r="T607" t="str">
        <f>IF($E607="","",COUNTIF($E$2:$E607,$E607))</f>
        <v/>
      </c>
      <c r="U607" t="str">
        <f t="shared" si="9"/>
        <v/>
      </c>
    </row>
    <row r="608" spans="20:21" x14ac:dyDescent="0.25">
      <c r="T608" t="str">
        <f>IF($E608="","",COUNTIF($E$2:$E608,$E608))</f>
        <v/>
      </c>
      <c r="U608" t="str">
        <f t="shared" si="9"/>
        <v/>
      </c>
    </row>
    <row r="609" spans="20:21" x14ac:dyDescent="0.25">
      <c r="T609" t="str">
        <f>IF($E609="","",COUNTIF($E$2:$E609,$E609))</f>
        <v/>
      </c>
      <c r="U609" t="str">
        <f t="shared" si="9"/>
        <v/>
      </c>
    </row>
    <row r="610" spans="20:21" x14ac:dyDescent="0.25">
      <c r="T610" t="str">
        <f>IF($E610="","",COUNTIF($E$2:$E610,$E610))</f>
        <v/>
      </c>
      <c r="U610" t="str">
        <f t="shared" si="9"/>
        <v/>
      </c>
    </row>
    <row r="611" spans="20:21" x14ac:dyDescent="0.25">
      <c r="T611" t="str">
        <f>IF($E611="","",COUNTIF($E$2:$E611,$E611))</f>
        <v/>
      </c>
      <c r="U611" t="str">
        <f t="shared" si="9"/>
        <v/>
      </c>
    </row>
    <row r="612" spans="20:21" x14ac:dyDescent="0.25">
      <c r="T612" t="str">
        <f>IF($E612="","",COUNTIF($E$2:$E612,$E612))</f>
        <v/>
      </c>
      <c r="U612" t="str">
        <f t="shared" si="9"/>
        <v/>
      </c>
    </row>
    <row r="613" spans="20:21" x14ac:dyDescent="0.25">
      <c r="T613" t="str">
        <f>IF($E613="","",COUNTIF($E$2:$E613,$E613))</f>
        <v/>
      </c>
      <c r="U613" t="str">
        <f t="shared" si="9"/>
        <v/>
      </c>
    </row>
    <row r="614" spans="20:21" x14ac:dyDescent="0.25">
      <c r="T614" t="str">
        <f>IF($E614="","",COUNTIF($E$2:$E614,$E614))</f>
        <v/>
      </c>
      <c r="U614" t="str">
        <f t="shared" si="9"/>
        <v/>
      </c>
    </row>
    <row r="615" spans="20:21" x14ac:dyDescent="0.25">
      <c r="T615" t="str">
        <f>IF($E615="","",COUNTIF($E$2:$E615,$E615))</f>
        <v/>
      </c>
      <c r="U615" t="str">
        <f t="shared" si="9"/>
        <v/>
      </c>
    </row>
    <row r="616" spans="20:21" x14ac:dyDescent="0.25">
      <c r="T616" t="str">
        <f>IF($E616="","",COUNTIF($E$2:$E616,$E616))</f>
        <v/>
      </c>
      <c r="U616" t="str">
        <f t="shared" si="9"/>
        <v/>
      </c>
    </row>
    <row r="617" spans="20:21" x14ac:dyDescent="0.25">
      <c r="T617" t="str">
        <f>IF($E617="","",COUNTIF($E$2:$E617,$E617))</f>
        <v/>
      </c>
      <c r="U617" t="str">
        <f t="shared" si="9"/>
        <v/>
      </c>
    </row>
    <row r="618" spans="20:21" x14ac:dyDescent="0.25">
      <c r="T618" t="str">
        <f>IF($E618="","",COUNTIF($E$2:$E618,$E618))</f>
        <v/>
      </c>
      <c r="U618" t="str">
        <f t="shared" si="9"/>
        <v/>
      </c>
    </row>
    <row r="619" spans="20:21" x14ac:dyDescent="0.25">
      <c r="T619" t="str">
        <f>IF($E619="","",COUNTIF($E$2:$E619,$E619))</f>
        <v/>
      </c>
      <c r="U619" t="str">
        <f t="shared" si="9"/>
        <v/>
      </c>
    </row>
    <row r="620" spans="20:21" x14ac:dyDescent="0.25">
      <c r="T620" t="str">
        <f>IF($E620="","",COUNTIF($E$2:$E620,$E620))</f>
        <v/>
      </c>
      <c r="U620" t="str">
        <f t="shared" si="9"/>
        <v/>
      </c>
    </row>
    <row r="621" spans="20:21" x14ac:dyDescent="0.25">
      <c r="T621" t="str">
        <f>IF($E621="","",COUNTIF($E$2:$E621,$E621))</f>
        <v/>
      </c>
      <c r="U621" t="str">
        <f t="shared" si="9"/>
        <v/>
      </c>
    </row>
    <row r="622" spans="20:21" x14ac:dyDescent="0.25">
      <c r="T622" t="str">
        <f>IF($E622="","",COUNTIF($E$2:$E622,$E622))</f>
        <v/>
      </c>
      <c r="U622" t="str">
        <f t="shared" si="9"/>
        <v/>
      </c>
    </row>
    <row r="623" spans="20:21" x14ac:dyDescent="0.25">
      <c r="T623" t="str">
        <f>IF($E623="","",COUNTIF($E$2:$E623,$E623))</f>
        <v/>
      </c>
      <c r="U623" t="str">
        <f t="shared" si="9"/>
        <v/>
      </c>
    </row>
    <row r="624" spans="20:21" x14ac:dyDescent="0.25">
      <c r="T624" t="str">
        <f>IF($E624="","",COUNTIF($E$2:$E624,$E624))</f>
        <v/>
      </c>
      <c r="U624" t="str">
        <f t="shared" si="9"/>
        <v/>
      </c>
    </row>
    <row r="625" spans="20:21" x14ac:dyDescent="0.25">
      <c r="T625" t="str">
        <f>IF($E625="","",COUNTIF($E$2:$E625,$E625))</f>
        <v/>
      </c>
      <c r="U625" t="str">
        <f t="shared" si="9"/>
        <v/>
      </c>
    </row>
    <row r="626" spans="20:21" x14ac:dyDescent="0.25">
      <c r="T626" t="str">
        <f>IF($E626="","",COUNTIF($E$2:$E626,$E626))</f>
        <v/>
      </c>
      <c r="U626" t="str">
        <f t="shared" si="9"/>
        <v/>
      </c>
    </row>
    <row r="627" spans="20:21" x14ac:dyDescent="0.25">
      <c r="T627" t="str">
        <f>IF($E627="","",COUNTIF($E$2:$E627,$E627))</f>
        <v/>
      </c>
      <c r="U627" t="str">
        <f t="shared" si="9"/>
        <v/>
      </c>
    </row>
    <row r="628" spans="20:21" x14ac:dyDescent="0.25">
      <c r="T628" t="str">
        <f>IF($E628="","",COUNTIF($E$2:$E628,$E628))</f>
        <v/>
      </c>
      <c r="U628" t="str">
        <f t="shared" si="9"/>
        <v/>
      </c>
    </row>
    <row r="629" spans="20:21" x14ac:dyDescent="0.25">
      <c r="T629" t="str">
        <f>IF($E629="","",COUNTIF($E$2:$E629,$E629))</f>
        <v/>
      </c>
      <c r="U629" t="str">
        <f t="shared" si="9"/>
        <v/>
      </c>
    </row>
    <row r="630" spans="20:21" x14ac:dyDescent="0.25">
      <c r="T630" t="str">
        <f>IF($E630="","",COUNTIF($E$2:$E630,$E630))</f>
        <v/>
      </c>
      <c r="U630" t="str">
        <f t="shared" si="9"/>
        <v/>
      </c>
    </row>
    <row r="631" spans="20:21" x14ac:dyDescent="0.25">
      <c r="T631" t="str">
        <f>IF($E631="","",COUNTIF($E$2:$E631,$E631))</f>
        <v/>
      </c>
      <c r="U631" t="str">
        <f t="shared" si="9"/>
        <v/>
      </c>
    </row>
    <row r="632" spans="20:21" x14ac:dyDescent="0.25">
      <c r="T632" t="str">
        <f>IF($E632="","",COUNTIF($E$2:$E632,$E632))</f>
        <v/>
      </c>
      <c r="U632" t="str">
        <f t="shared" si="9"/>
        <v/>
      </c>
    </row>
    <row r="633" spans="20:21" x14ac:dyDescent="0.25">
      <c r="T633" t="str">
        <f>IF($E633="","",COUNTIF($E$2:$E633,$E633))</f>
        <v/>
      </c>
      <c r="U633" t="str">
        <f t="shared" si="9"/>
        <v/>
      </c>
    </row>
    <row r="634" spans="20:21" x14ac:dyDescent="0.25">
      <c r="T634" t="str">
        <f>IF($E634="","",COUNTIF($E$2:$E634,$E634))</f>
        <v/>
      </c>
      <c r="U634" t="str">
        <f t="shared" si="9"/>
        <v/>
      </c>
    </row>
    <row r="635" spans="20:21" x14ac:dyDescent="0.25">
      <c r="T635" t="str">
        <f>IF($E635="","",COUNTIF($E$2:$E635,$E635))</f>
        <v/>
      </c>
      <c r="U635" t="str">
        <f t="shared" si="9"/>
        <v/>
      </c>
    </row>
    <row r="636" spans="20:21" x14ac:dyDescent="0.25">
      <c r="T636" t="str">
        <f>IF($E636="","",COUNTIF($E$2:$E636,$E636))</f>
        <v/>
      </c>
      <c r="U636" t="str">
        <f t="shared" si="9"/>
        <v/>
      </c>
    </row>
    <row r="637" spans="20:21" x14ac:dyDescent="0.25">
      <c r="T637" t="str">
        <f>IF($E637="","",COUNTIF($E$2:$E637,$E637))</f>
        <v/>
      </c>
      <c r="U637" t="str">
        <f t="shared" si="9"/>
        <v/>
      </c>
    </row>
    <row r="638" spans="20:21" x14ac:dyDescent="0.25">
      <c r="T638" t="str">
        <f>IF($E638="","",COUNTIF($E$2:$E638,$E638))</f>
        <v/>
      </c>
      <c r="U638" t="str">
        <f t="shared" si="9"/>
        <v/>
      </c>
    </row>
    <row r="639" spans="20:21" x14ac:dyDescent="0.25">
      <c r="T639" t="str">
        <f>IF($E639="","",COUNTIF($E$2:$E639,$E639))</f>
        <v/>
      </c>
      <c r="U639" t="str">
        <f t="shared" si="9"/>
        <v/>
      </c>
    </row>
    <row r="640" spans="20:21" x14ac:dyDescent="0.25">
      <c r="T640" t="str">
        <f>IF($E640="","",COUNTIF($E$2:$E640,$E640))</f>
        <v/>
      </c>
      <c r="U640" t="str">
        <f t="shared" si="9"/>
        <v/>
      </c>
    </row>
    <row r="641" spans="20:21" x14ac:dyDescent="0.25">
      <c r="T641" t="str">
        <f>IF($E641="","",COUNTIF($E$2:$E641,$E641))</f>
        <v/>
      </c>
      <c r="U641" t="str">
        <f t="shared" si="9"/>
        <v/>
      </c>
    </row>
    <row r="642" spans="20:21" x14ac:dyDescent="0.25">
      <c r="T642" t="str">
        <f>IF($E642="","",COUNTIF($E$2:$E642,$E642))</f>
        <v/>
      </c>
      <c r="U642" t="str">
        <f t="shared" ref="U642:U705" si="10">IF($E642="","",$E642&amp;"|"&amp;T642)</f>
        <v/>
      </c>
    </row>
    <row r="643" spans="20:21" x14ac:dyDescent="0.25">
      <c r="T643" t="str">
        <f>IF($E643="","",COUNTIF($E$2:$E643,$E643))</f>
        <v/>
      </c>
      <c r="U643" t="str">
        <f t="shared" si="10"/>
        <v/>
      </c>
    </row>
    <row r="644" spans="20:21" x14ac:dyDescent="0.25">
      <c r="T644" t="str">
        <f>IF($E644="","",COUNTIF($E$2:$E644,$E644))</f>
        <v/>
      </c>
      <c r="U644" t="str">
        <f t="shared" si="10"/>
        <v/>
      </c>
    </row>
    <row r="645" spans="20:21" x14ac:dyDescent="0.25">
      <c r="T645" t="str">
        <f>IF($E645="","",COUNTIF($E$2:$E645,$E645))</f>
        <v/>
      </c>
      <c r="U645" t="str">
        <f t="shared" si="10"/>
        <v/>
      </c>
    </row>
    <row r="646" spans="20:21" x14ac:dyDescent="0.25">
      <c r="T646" t="str">
        <f>IF($E646="","",COUNTIF($E$2:$E646,$E646))</f>
        <v/>
      </c>
      <c r="U646" t="str">
        <f t="shared" si="10"/>
        <v/>
      </c>
    </row>
    <row r="647" spans="20:21" x14ac:dyDescent="0.25">
      <c r="T647" t="str">
        <f>IF($E647="","",COUNTIF($E$2:$E647,$E647))</f>
        <v/>
      </c>
      <c r="U647" t="str">
        <f t="shared" si="10"/>
        <v/>
      </c>
    </row>
    <row r="648" spans="20:21" x14ac:dyDescent="0.25">
      <c r="T648" t="str">
        <f>IF($E648="","",COUNTIF($E$2:$E648,$E648))</f>
        <v/>
      </c>
      <c r="U648" t="str">
        <f t="shared" si="10"/>
        <v/>
      </c>
    </row>
    <row r="649" spans="20:21" x14ac:dyDescent="0.25">
      <c r="T649" t="str">
        <f>IF($E649="","",COUNTIF($E$2:$E649,$E649))</f>
        <v/>
      </c>
      <c r="U649" t="str">
        <f t="shared" si="10"/>
        <v/>
      </c>
    </row>
    <row r="650" spans="20:21" x14ac:dyDescent="0.25">
      <c r="T650" t="str">
        <f>IF($E650="","",COUNTIF($E$2:$E650,$E650))</f>
        <v/>
      </c>
      <c r="U650" t="str">
        <f t="shared" si="10"/>
        <v/>
      </c>
    </row>
    <row r="651" spans="20:21" x14ac:dyDescent="0.25">
      <c r="T651" t="str">
        <f>IF($E651="","",COUNTIF($E$2:$E651,$E651))</f>
        <v/>
      </c>
      <c r="U651" t="str">
        <f t="shared" si="10"/>
        <v/>
      </c>
    </row>
    <row r="652" spans="20:21" x14ac:dyDescent="0.25">
      <c r="T652" t="str">
        <f>IF($E652="","",COUNTIF($E$2:$E652,$E652))</f>
        <v/>
      </c>
      <c r="U652" t="str">
        <f t="shared" si="10"/>
        <v/>
      </c>
    </row>
    <row r="653" spans="20:21" x14ac:dyDescent="0.25">
      <c r="T653" t="str">
        <f>IF($E653="","",COUNTIF($E$2:$E653,$E653))</f>
        <v/>
      </c>
      <c r="U653" t="str">
        <f t="shared" si="10"/>
        <v/>
      </c>
    </row>
    <row r="654" spans="20:21" x14ac:dyDescent="0.25">
      <c r="T654" t="str">
        <f>IF($E654="","",COUNTIF($E$2:$E654,$E654))</f>
        <v/>
      </c>
      <c r="U654" t="str">
        <f t="shared" si="10"/>
        <v/>
      </c>
    </row>
    <row r="655" spans="20:21" x14ac:dyDescent="0.25">
      <c r="T655" t="str">
        <f>IF($E655="","",COUNTIF($E$2:$E655,$E655))</f>
        <v/>
      </c>
      <c r="U655" t="str">
        <f t="shared" si="10"/>
        <v/>
      </c>
    </row>
    <row r="656" spans="20:21" x14ac:dyDescent="0.25">
      <c r="T656" t="str">
        <f>IF($E656="","",COUNTIF($E$2:$E656,$E656))</f>
        <v/>
      </c>
      <c r="U656" t="str">
        <f t="shared" si="10"/>
        <v/>
      </c>
    </row>
    <row r="657" spans="20:21" x14ac:dyDescent="0.25">
      <c r="T657" t="str">
        <f>IF($E657="","",COUNTIF($E$2:$E657,$E657))</f>
        <v/>
      </c>
      <c r="U657" t="str">
        <f t="shared" si="10"/>
        <v/>
      </c>
    </row>
    <row r="658" spans="20:21" x14ac:dyDescent="0.25">
      <c r="T658" t="str">
        <f>IF($E658="","",COUNTIF($E$2:$E658,$E658))</f>
        <v/>
      </c>
      <c r="U658" t="str">
        <f t="shared" si="10"/>
        <v/>
      </c>
    </row>
    <row r="659" spans="20:21" x14ac:dyDescent="0.25">
      <c r="T659" t="str">
        <f>IF($E659="","",COUNTIF($E$2:$E659,$E659))</f>
        <v/>
      </c>
      <c r="U659" t="str">
        <f t="shared" si="10"/>
        <v/>
      </c>
    </row>
    <row r="660" spans="20:21" x14ac:dyDescent="0.25">
      <c r="T660" t="str">
        <f>IF($E660="","",COUNTIF($E$2:$E660,$E660))</f>
        <v/>
      </c>
      <c r="U660" t="str">
        <f t="shared" si="10"/>
        <v/>
      </c>
    </row>
    <row r="661" spans="20:21" x14ac:dyDescent="0.25">
      <c r="T661" t="str">
        <f>IF($E661="","",COUNTIF($E$2:$E661,$E661))</f>
        <v/>
      </c>
      <c r="U661" t="str">
        <f t="shared" si="10"/>
        <v/>
      </c>
    </row>
    <row r="662" spans="20:21" x14ac:dyDescent="0.25">
      <c r="T662" t="str">
        <f>IF($E662="","",COUNTIF($E$2:$E662,$E662))</f>
        <v/>
      </c>
      <c r="U662" t="str">
        <f t="shared" si="10"/>
        <v/>
      </c>
    </row>
    <row r="663" spans="20:21" x14ac:dyDescent="0.25">
      <c r="T663" t="str">
        <f>IF($E663="","",COUNTIF($E$2:$E663,$E663))</f>
        <v/>
      </c>
      <c r="U663" t="str">
        <f t="shared" si="10"/>
        <v/>
      </c>
    </row>
    <row r="664" spans="20:21" x14ac:dyDescent="0.25">
      <c r="T664" t="str">
        <f>IF($E664="","",COUNTIF($E$2:$E664,$E664))</f>
        <v/>
      </c>
      <c r="U664" t="str">
        <f t="shared" si="10"/>
        <v/>
      </c>
    </row>
    <row r="665" spans="20:21" x14ac:dyDescent="0.25">
      <c r="T665" t="str">
        <f>IF($E665="","",COUNTIF($E$2:$E665,$E665))</f>
        <v/>
      </c>
      <c r="U665" t="str">
        <f t="shared" si="10"/>
        <v/>
      </c>
    </row>
    <row r="666" spans="20:21" x14ac:dyDescent="0.25">
      <c r="T666" t="str">
        <f>IF($E666="","",COUNTIF($E$2:$E666,$E666))</f>
        <v/>
      </c>
      <c r="U666" t="str">
        <f t="shared" si="10"/>
        <v/>
      </c>
    </row>
    <row r="667" spans="20:21" x14ac:dyDescent="0.25">
      <c r="T667" t="str">
        <f>IF($E667="","",COUNTIF($E$2:$E667,$E667))</f>
        <v/>
      </c>
      <c r="U667" t="str">
        <f t="shared" si="10"/>
        <v/>
      </c>
    </row>
    <row r="668" spans="20:21" x14ac:dyDescent="0.25">
      <c r="T668" t="str">
        <f>IF($E668="","",COUNTIF($E$2:$E668,$E668))</f>
        <v/>
      </c>
      <c r="U668" t="str">
        <f t="shared" si="10"/>
        <v/>
      </c>
    </row>
    <row r="669" spans="20:21" x14ac:dyDescent="0.25">
      <c r="T669" t="str">
        <f>IF($E669="","",COUNTIF($E$2:$E669,$E669))</f>
        <v/>
      </c>
      <c r="U669" t="str">
        <f t="shared" si="10"/>
        <v/>
      </c>
    </row>
    <row r="670" spans="20:21" x14ac:dyDescent="0.25">
      <c r="T670" t="str">
        <f>IF($E670="","",COUNTIF($E$2:$E670,$E670))</f>
        <v/>
      </c>
      <c r="U670" t="str">
        <f t="shared" si="10"/>
        <v/>
      </c>
    </row>
    <row r="671" spans="20:21" x14ac:dyDescent="0.25">
      <c r="T671" t="str">
        <f>IF($E671="","",COUNTIF($E$2:$E671,$E671))</f>
        <v/>
      </c>
      <c r="U671" t="str">
        <f t="shared" si="10"/>
        <v/>
      </c>
    </row>
    <row r="672" spans="20:21" x14ac:dyDescent="0.25">
      <c r="T672" t="str">
        <f>IF($E672="","",COUNTIF($E$2:$E672,$E672))</f>
        <v/>
      </c>
      <c r="U672" t="str">
        <f t="shared" si="10"/>
        <v/>
      </c>
    </row>
    <row r="673" spans="20:21" x14ac:dyDescent="0.25">
      <c r="T673" t="str">
        <f>IF($E673="","",COUNTIF($E$2:$E673,$E673))</f>
        <v/>
      </c>
      <c r="U673" t="str">
        <f t="shared" si="10"/>
        <v/>
      </c>
    </row>
    <row r="674" spans="20:21" x14ac:dyDescent="0.25">
      <c r="T674" t="str">
        <f>IF($E674="","",COUNTIF($E$2:$E674,$E674))</f>
        <v/>
      </c>
      <c r="U674" t="str">
        <f t="shared" si="10"/>
        <v/>
      </c>
    </row>
    <row r="675" spans="20:21" x14ac:dyDescent="0.25">
      <c r="T675" t="str">
        <f>IF($E675="","",COUNTIF($E$2:$E675,$E675))</f>
        <v/>
      </c>
      <c r="U675" t="str">
        <f t="shared" si="10"/>
        <v/>
      </c>
    </row>
    <row r="676" spans="20:21" x14ac:dyDescent="0.25">
      <c r="T676" t="str">
        <f>IF($E676="","",COUNTIF($E$2:$E676,$E676))</f>
        <v/>
      </c>
      <c r="U676" t="str">
        <f t="shared" si="10"/>
        <v/>
      </c>
    </row>
    <row r="677" spans="20:21" x14ac:dyDescent="0.25">
      <c r="T677" t="str">
        <f>IF($E677="","",COUNTIF($E$2:$E677,$E677))</f>
        <v/>
      </c>
      <c r="U677" t="str">
        <f t="shared" si="10"/>
        <v/>
      </c>
    </row>
    <row r="678" spans="20:21" x14ac:dyDescent="0.25">
      <c r="T678" t="str">
        <f>IF($E678="","",COUNTIF($E$2:$E678,$E678))</f>
        <v/>
      </c>
      <c r="U678" t="str">
        <f t="shared" si="10"/>
        <v/>
      </c>
    </row>
    <row r="679" spans="20:21" x14ac:dyDescent="0.25">
      <c r="T679" t="str">
        <f>IF($E679="","",COUNTIF($E$2:$E679,$E679))</f>
        <v/>
      </c>
      <c r="U679" t="str">
        <f t="shared" si="10"/>
        <v/>
      </c>
    </row>
    <row r="680" spans="20:21" x14ac:dyDescent="0.25">
      <c r="T680" t="str">
        <f>IF($E680="","",COUNTIF($E$2:$E680,$E680))</f>
        <v/>
      </c>
      <c r="U680" t="str">
        <f t="shared" si="10"/>
        <v/>
      </c>
    </row>
    <row r="681" spans="20:21" x14ac:dyDescent="0.25">
      <c r="T681" t="str">
        <f>IF($E681="","",COUNTIF($E$2:$E681,$E681))</f>
        <v/>
      </c>
      <c r="U681" t="str">
        <f t="shared" si="10"/>
        <v/>
      </c>
    </row>
    <row r="682" spans="20:21" x14ac:dyDescent="0.25">
      <c r="T682" t="str">
        <f>IF($E682="","",COUNTIF($E$2:$E682,$E682))</f>
        <v/>
      </c>
      <c r="U682" t="str">
        <f t="shared" si="10"/>
        <v/>
      </c>
    </row>
    <row r="683" spans="20:21" x14ac:dyDescent="0.25">
      <c r="T683" t="str">
        <f>IF($E683="","",COUNTIF($E$2:$E683,$E683))</f>
        <v/>
      </c>
      <c r="U683" t="str">
        <f t="shared" si="10"/>
        <v/>
      </c>
    </row>
    <row r="684" spans="20:21" x14ac:dyDescent="0.25">
      <c r="T684" t="str">
        <f>IF($E684="","",COUNTIF($E$2:$E684,$E684))</f>
        <v/>
      </c>
      <c r="U684" t="str">
        <f t="shared" si="10"/>
        <v/>
      </c>
    </row>
    <row r="685" spans="20:21" x14ac:dyDescent="0.25">
      <c r="T685" t="str">
        <f>IF($E685="","",COUNTIF($E$2:$E685,$E685))</f>
        <v/>
      </c>
      <c r="U685" t="str">
        <f t="shared" si="10"/>
        <v/>
      </c>
    </row>
    <row r="686" spans="20:21" x14ac:dyDescent="0.25">
      <c r="T686" t="str">
        <f>IF($E686="","",COUNTIF($E$2:$E686,$E686))</f>
        <v/>
      </c>
      <c r="U686" t="str">
        <f t="shared" si="10"/>
        <v/>
      </c>
    </row>
    <row r="687" spans="20:21" x14ac:dyDescent="0.25">
      <c r="T687" t="str">
        <f>IF($E687="","",COUNTIF($E$2:$E687,$E687))</f>
        <v/>
      </c>
      <c r="U687" t="str">
        <f t="shared" si="10"/>
        <v/>
      </c>
    </row>
    <row r="688" spans="20:21" x14ac:dyDescent="0.25">
      <c r="T688" t="str">
        <f>IF($E688="","",COUNTIF($E$2:$E688,$E688))</f>
        <v/>
      </c>
      <c r="U688" t="str">
        <f t="shared" si="10"/>
        <v/>
      </c>
    </row>
    <row r="689" spans="20:21" x14ac:dyDescent="0.25">
      <c r="T689" t="str">
        <f>IF($E689="","",COUNTIF($E$2:$E689,$E689))</f>
        <v/>
      </c>
      <c r="U689" t="str">
        <f t="shared" si="10"/>
        <v/>
      </c>
    </row>
    <row r="690" spans="20:21" x14ac:dyDescent="0.25">
      <c r="T690" t="str">
        <f>IF($E690="","",COUNTIF($E$2:$E690,$E690))</f>
        <v/>
      </c>
      <c r="U690" t="str">
        <f t="shared" si="10"/>
        <v/>
      </c>
    </row>
    <row r="691" spans="20:21" x14ac:dyDescent="0.25">
      <c r="T691" t="str">
        <f>IF($E691="","",COUNTIF($E$2:$E691,$E691))</f>
        <v/>
      </c>
      <c r="U691" t="str">
        <f t="shared" si="10"/>
        <v/>
      </c>
    </row>
    <row r="692" spans="20:21" x14ac:dyDescent="0.25">
      <c r="T692" t="str">
        <f>IF($E692="","",COUNTIF($E$2:$E692,$E692))</f>
        <v/>
      </c>
      <c r="U692" t="str">
        <f t="shared" si="10"/>
        <v/>
      </c>
    </row>
    <row r="693" spans="20:21" x14ac:dyDescent="0.25">
      <c r="T693" t="str">
        <f>IF($E693="","",COUNTIF($E$2:$E693,$E693))</f>
        <v/>
      </c>
      <c r="U693" t="str">
        <f t="shared" si="10"/>
        <v/>
      </c>
    </row>
    <row r="694" spans="20:21" x14ac:dyDescent="0.25">
      <c r="T694" t="str">
        <f>IF($E694="","",COUNTIF($E$2:$E694,$E694))</f>
        <v/>
      </c>
      <c r="U694" t="str">
        <f t="shared" si="10"/>
        <v/>
      </c>
    </row>
    <row r="695" spans="20:21" x14ac:dyDescent="0.25">
      <c r="T695" t="str">
        <f>IF($E695="","",COUNTIF($E$2:$E695,$E695))</f>
        <v/>
      </c>
      <c r="U695" t="str">
        <f t="shared" si="10"/>
        <v/>
      </c>
    </row>
    <row r="696" spans="20:21" x14ac:dyDescent="0.25">
      <c r="T696" t="str">
        <f>IF($E696="","",COUNTIF($E$2:$E696,$E696))</f>
        <v/>
      </c>
      <c r="U696" t="str">
        <f t="shared" si="10"/>
        <v/>
      </c>
    </row>
    <row r="697" spans="20:21" x14ac:dyDescent="0.25">
      <c r="T697" t="str">
        <f>IF($E697="","",COUNTIF($E$2:$E697,$E697))</f>
        <v/>
      </c>
      <c r="U697" t="str">
        <f t="shared" si="10"/>
        <v/>
      </c>
    </row>
    <row r="698" spans="20:21" x14ac:dyDescent="0.25">
      <c r="T698" t="str">
        <f>IF($E698="","",COUNTIF($E$2:$E698,$E698))</f>
        <v/>
      </c>
      <c r="U698" t="str">
        <f t="shared" si="10"/>
        <v/>
      </c>
    </row>
    <row r="699" spans="20:21" x14ac:dyDescent="0.25">
      <c r="T699" t="str">
        <f>IF($E699="","",COUNTIF($E$2:$E699,$E699))</f>
        <v/>
      </c>
      <c r="U699" t="str">
        <f t="shared" si="10"/>
        <v/>
      </c>
    </row>
    <row r="700" spans="20:21" x14ac:dyDescent="0.25">
      <c r="T700" t="str">
        <f>IF($E700="","",COUNTIF($E$2:$E700,$E700))</f>
        <v/>
      </c>
      <c r="U700" t="str">
        <f t="shared" si="10"/>
        <v/>
      </c>
    </row>
    <row r="701" spans="20:21" x14ac:dyDescent="0.25">
      <c r="T701" t="str">
        <f>IF($E701="","",COUNTIF($E$2:$E701,$E701))</f>
        <v/>
      </c>
      <c r="U701" t="str">
        <f t="shared" si="10"/>
        <v/>
      </c>
    </row>
    <row r="702" spans="20:21" x14ac:dyDescent="0.25">
      <c r="T702" t="str">
        <f>IF($E702="","",COUNTIF($E$2:$E702,$E702))</f>
        <v/>
      </c>
      <c r="U702" t="str">
        <f t="shared" si="10"/>
        <v/>
      </c>
    </row>
    <row r="703" spans="20:21" x14ac:dyDescent="0.25">
      <c r="T703" t="str">
        <f>IF($E703="","",COUNTIF($E$2:$E703,$E703))</f>
        <v/>
      </c>
      <c r="U703" t="str">
        <f t="shared" si="10"/>
        <v/>
      </c>
    </row>
    <row r="704" spans="20:21" x14ac:dyDescent="0.25">
      <c r="T704" t="str">
        <f>IF($E704="","",COUNTIF($E$2:$E704,$E704))</f>
        <v/>
      </c>
      <c r="U704" t="str">
        <f t="shared" si="10"/>
        <v/>
      </c>
    </row>
    <row r="705" spans="20:21" x14ac:dyDescent="0.25">
      <c r="T705" t="str">
        <f>IF($E705="","",COUNTIF($E$2:$E705,$E705))</f>
        <v/>
      </c>
      <c r="U705" t="str">
        <f t="shared" si="10"/>
        <v/>
      </c>
    </row>
    <row r="706" spans="20:21" x14ac:dyDescent="0.25">
      <c r="T706" t="str">
        <f>IF($E706="","",COUNTIF($E$2:$E706,$E706))</f>
        <v/>
      </c>
      <c r="U706" t="str">
        <f t="shared" ref="U706:U769" si="11">IF($E706="","",$E706&amp;"|"&amp;T706)</f>
        <v/>
      </c>
    </row>
    <row r="707" spans="20:21" x14ac:dyDescent="0.25">
      <c r="T707" t="str">
        <f>IF($E707="","",COUNTIF($E$2:$E707,$E707))</f>
        <v/>
      </c>
      <c r="U707" t="str">
        <f t="shared" si="11"/>
        <v/>
      </c>
    </row>
    <row r="708" spans="20:21" x14ac:dyDescent="0.25">
      <c r="T708" t="str">
        <f>IF($E708="","",COUNTIF($E$2:$E708,$E708))</f>
        <v/>
      </c>
      <c r="U708" t="str">
        <f t="shared" si="11"/>
        <v/>
      </c>
    </row>
    <row r="709" spans="20:21" x14ac:dyDescent="0.25">
      <c r="T709" t="str">
        <f>IF($E709="","",COUNTIF($E$2:$E709,$E709))</f>
        <v/>
      </c>
      <c r="U709" t="str">
        <f t="shared" si="11"/>
        <v/>
      </c>
    </row>
    <row r="710" spans="20:21" x14ac:dyDescent="0.25">
      <c r="T710" t="str">
        <f>IF($E710="","",COUNTIF($E$2:$E710,$E710))</f>
        <v/>
      </c>
      <c r="U710" t="str">
        <f t="shared" si="11"/>
        <v/>
      </c>
    </row>
    <row r="711" spans="20:21" x14ac:dyDescent="0.25">
      <c r="T711" t="str">
        <f>IF($E711="","",COUNTIF($E$2:$E711,$E711))</f>
        <v/>
      </c>
      <c r="U711" t="str">
        <f t="shared" si="11"/>
        <v/>
      </c>
    </row>
    <row r="712" spans="20:21" x14ac:dyDescent="0.25">
      <c r="T712" t="str">
        <f>IF($E712="","",COUNTIF($E$2:$E712,$E712))</f>
        <v/>
      </c>
      <c r="U712" t="str">
        <f t="shared" si="11"/>
        <v/>
      </c>
    </row>
    <row r="713" spans="20:21" x14ac:dyDescent="0.25">
      <c r="T713" t="str">
        <f>IF($E713="","",COUNTIF($E$2:$E713,$E713))</f>
        <v/>
      </c>
      <c r="U713" t="str">
        <f t="shared" si="11"/>
        <v/>
      </c>
    </row>
    <row r="714" spans="20:21" x14ac:dyDescent="0.25">
      <c r="T714" t="str">
        <f>IF($E714="","",COUNTIF($E$2:$E714,$E714))</f>
        <v/>
      </c>
      <c r="U714" t="str">
        <f t="shared" si="11"/>
        <v/>
      </c>
    </row>
    <row r="715" spans="20:21" x14ac:dyDescent="0.25">
      <c r="T715" t="str">
        <f>IF($E715="","",COUNTIF($E$2:$E715,$E715))</f>
        <v/>
      </c>
      <c r="U715" t="str">
        <f t="shared" si="11"/>
        <v/>
      </c>
    </row>
    <row r="716" spans="20:21" x14ac:dyDescent="0.25">
      <c r="T716" t="str">
        <f>IF($E716="","",COUNTIF($E$2:$E716,$E716))</f>
        <v/>
      </c>
      <c r="U716" t="str">
        <f t="shared" si="11"/>
        <v/>
      </c>
    </row>
    <row r="717" spans="20:21" x14ac:dyDescent="0.25">
      <c r="T717" t="str">
        <f>IF($E717="","",COUNTIF($E$2:$E717,$E717))</f>
        <v/>
      </c>
      <c r="U717" t="str">
        <f t="shared" si="11"/>
        <v/>
      </c>
    </row>
    <row r="718" spans="20:21" x14ac:dyDescent="0.25">
      <c r="T718" t="str">
        <f>IF($E718="","",COUNTIF($E$2:$E718,$E718))</f>
        <v/>
      </c>
      <c r="U718" t="str">
        <f t="shared" si="11"/>
        <v/>
      </c>
    </row>
    <row r="719" spans="20:21" x14ac:dyDescent="0.25">
      <c r="T719" t="str">
        <f>IF($E719="","",COUNTIF($E$2:$E719,$E719))</f>
        <v/>
      </c>
      <c r="U719" t="str">
        <f t="shared" si="11"/>
        <v/>
      </c>
    </row>
    <row r="720" spans="20:21" x14ac:dyDescent="0.25">
      <c r="T720" t="str">
        <f>IF($E720="","",COUNTIF($E$2:$E720,$E720))</f>
        <v/>
      </c>
      <c r="U720" t="str">
        <f t="shared" si="11"/>
        <v/>
      </c>
    </row>
    <row r="721" spans="20:21" x14ac:dyDescent="0.25">
      <c r="T721" t="str">
        <f>IF($E721="","",COUNTIF($E$2:$E721,$E721))</f>
        <v/>
      </c>
      <c r="U721" t="str">
        <f t="shared" si="11"/>
        <v/>
      </c>
    </row>
    <row r="722" spans="20:21" x14ac:dyDescent="0.25">
      <c r="T722" t="str">
        <f>IF($E722="","",COUNTIF($E$2:$E722,$E722))</f>
        <v/>
      </c>
      <c r="U722" t="str">
        <f t="shared" si="11"/>
        <v/>
      </c>
    </row>
    <row r="723" spans="20:21" x14ac:dyDescent="0.25">
      <c r="T723" t="str">
        <f>IF($E723="","",COUNTIF($E$2:$E723,$E723))</f>
        <v/>
      </c>
      <c r="U723" t="str">
        <f t="shared" si="11"/>
        <v/>
      </c>
    </row>
    <row r="724" spans="20:21" x14ac:dyDescent="0.25">
      <c r="T724" t="str">
        <f>IF($E724="","",COUNTIF($E$2:$E724,$E724))</f>
        <v/>
      </c>
      <c r="U724" t="str">
        <f t="shared" si="11"/>
        <v/>
      </c>
    </row>
    <row r="725" spans="20:21" x14ac:dyDescent="0.25">
      <c r="T725" t="str">
        <f>IF($E725="","",COUNTIF($E$2:$E725,$E725))</f>
        <v/>
      </c>
      <c r="U725" t="str">
        <f t="shared" si="11"/>
        <v/>
      </c>
    </row>
    <row r="726" spans="20:21" x14ac:dyDescent="0.25">
      <c r="T726" t="str">
        <f>IF($E726="","",COUNTIF($E$2:$E726,$E726))</f>
        <v/>
      </c>
      <c r="U726" t="str">
        <f t="shared" si="11"/>
        <v/>
      </c>
    </row>
    <row r="727" spans="20:21" x14ac:dyDescent="0.25">
      <c r="T727" t="str">
        <f>IF($E727="","",COUNTIF($E$2:$E727,$E727))</f>
        <v/>
      </c>
      <c r="U727" t="str">
        <f t="shared" si="11"/>
        <v/>
      </c>
    </row>
    <row r="728" spans="20:21" x14ac:dyDescent="0.25">
      <c r="T728" t="str">
        <f>IF($E728="","",COUNTIF($E$2:$E728,$E728))</f>
        <v/>
      </c>
      <c r="U728" t="str">
        <f t="shared" si="11"/>
        <v/>
      </c>
    </row>
    <row r="729" spans="20:21" x14ac:dyDescent="0.25">
      <c r="T729" t="str">
        <f>IF($E729="","",COUNTIF($E$2:$E729,$E729))</f>
        <v/>
      </c>
      <c r="U729" t="str">
        <f t="shared" si="11"/>
        <v/>
      </c>
    </row>
    <row r="730" spans="20:21" x14ac:dyDescent="0.25">
      <c r="T730" t="str">
        <f>IF($E730="","",COUNTIF($E$2:$E730,$E730))</f>
        <v/>
      </c>
      <c r="U730" t="str">
        <f t="shared" si="11"/>
        <v/>
      </c>
    </row>
    <row r="731" spans="20:21" x14ac:dyDescent="0.25">
      <c r="T731" t="str">
        <f>IF($E731="","",COUNTIF($E$2:$E731,$E731))</f>
        <v/>
      </c>
      <c r="U731" t="str">
        <f t="shared" si="11"/>
        <v/>
      </c>
    </row>
    <row r="732" spans="20:21" x14ac:dyDescent="0.25">
      <c r="T732" t="str">
        <f>IF($E732="","",COUNTIF($E$2:$E732,$E732))</f>
        <v/>
      </c>
      <c r="U732" t="str">
        <f t="shared" si="11"/>
        <v/>
      </c>
    </row>
    <row r="733" spans="20:21" x14ac:dyDescent="0.25">
      <c r="T733" t="str">
        <f>IF($E733="","",COUNTIF($E$2:$E733,$E733))</f>
        <v/>
      </c>
      <c r="U733" t="str">
        <f t="shared" si="11"/>
        <v/>
      </c>
    </row>
    <row r="734" spans="20:21" x14ac:dyDescent="0.25">
      <c r="T734" t="str">
        <f>IF($E734="","",COUNTIF($E$2:$E734,$E734))</f>
        <v/>
      </c>
      <c r="U734" t="str">
        <f t="shared" si="11"/>
        <v/>
      </c>
    </row>
    <row r="735" spans="20:21" x14ac:dyDescent="0.25">
      <c r="T735" t="str">
        <f>IF($E735="","",COUNTIF($E$2:$E735,$E735))</f>
        <v/>
      </c>
      <c r="U735" t="str">
        <f t="shared" si="11"/>
        <v/>
      </c>
    </row>
    <row r="736" spans="20:21" x14ac:dyDescent="0.25">
      <c r="T736" t="str">
        <f>IF($E736="","",COUNTIF($E$2:$E736,$E736))</f>
        <v/>
      </c>
      <c r="U736" t="str">
        <f t="shared" si="11"/>
        <v/>
      </c>
    </row>
    <row r="737" spans="20:21" x14ac:dyDescent="0.25">
      <c r="T737" t="str">
        <f>IF($E737="","",COUNTIF($E$2:$E737,$E737))</f>
        <v/>
      </c>
      <c r="U737" t="str">
        <f t="shared" si="11"/>
        <v/>
      </c>
    </row>
    <row r="738" spans="20:21" x14ac:dyDescent="0.25">
      <c r="T738" t="str">
        <f>IF($E738="","",COUNTIF($E$2:$E738,$E738))</f>
        <v/>
      </c>
      <c r="U738" t="str">
        <f t="shared" si="11"/>
        <v/>
      </c>
    </row>
    <row r="739" spans="20:21" x14ac:dyDescent="0.25">
      <c r="T739" t="str">
        <f>IF($E739="","",COUNTIF($E$2:$E739,$E739))</f>
        <v/>
      </c>
      <c r="U739" t="str">
        <f t="shared" si="11"/>
        <v/>
      </c>
    </row>
    <row r="740" spans="20:21" x14ac:dyDescent="0.25">
      <c r="T740" t="str">
        <f>IF($E740="","",COUNTIF($E$2:$E740,$E740))</f>
        <v/>
      </c>
      <c r="U740" t="str">
        <f t="shared" si="11"/>
        <v/>
      </c>
    </row>
    <row r="741" spans="20:21" x14ac:dyDescent="0.25">
      <c r="T741" t="str">
        <f>IF($E741="","",COUNTIF($E$2:$E741,$E741))</f>
        <v/>
      </c>
      <c r="U741" t="str">
        <f t="shared" si="11"/>
        <v/>
      </c>
    </row>
    <row r="742" spans="20:21" x14ac:dyDescent="0.25">
      <c r="T742" t="str">
        <f>IF($E742="","",COUNTIF($E$2:$E742,$E742))</f>
        <v/>
      </c>
      <c r="U742" t="str">
        <f t="shared" si="11"/>
        <v/>
      </c>
    </row>
    <row r="743" spans="20:21" x14ac:dyDescent="0.25">
      <c r="T743" t="str">
        <f>IF($E743="","",COUNTIF($E$2:$E743,$E743))</f>
        <v/>
      </c>
      <c r="U743" t="str">
        <f t="shared" si="11"/>
        <v/>
      </c>
    </row>
    <row r="744" spans="20:21" x14ac:dyDescent="0.25">
      <c r="T744" t="str">
        <f>IF($E744="","",COUNTIF($E$2:$E744,$E744))</f>
        <v/>
      </c>
      <c r="U744" t="str">
        <f t="shared" si="11"/>
        <v/>
      </c>
    </row>
    <row r="745" spans="20:21" x14ac:dyDescent="0.25">
      <c r="T745" t="str">
        <f>IF($E745="","",COUNTIF($E$2:$E745,$E745))</f>
        <v/>
      </c>
      <c r="U745" t="str">
        <f t="shared" si="11"/>
        <v/>
      </c>
    </row>
    <row r="746" spans="20:21" x14ac:dyDescent="0.25">
      <c r="T746" t="str">
        <f>IF($E746="","",COUNTIF($E$2:$E746,$E746))</f>
        <v/>
      </c>
      <c r="U746" t="str">
        <f t="shared" si="11"/>
        <v/>
      </c>
    </row>
    <row r="747" spans="20:21" x14ac:dyDescent="0.25">
      <c r="T747" t="str">
        <f>IF($E747="","",COUNTIF($E$2:$E747,$E747))</f>
        <v/>
      </c>
      <c r="U747" t="str">
        <f t="shared" si="11"/>
        <v/>
      </c>
    </row>
    <row r="748" spans="20:21" x14ac:dyDescent="0.25">
      <c r="T748" t="str">
        <f>IF($E748="","",COUNTIF($E$2:$E748,$E748))</f>
        <v/>
      </c>
      <c r="U748" t="str">
        <f t="shared" si="11"/>
        <v/>
      </c>
    </row>
    <row r="749" spans="20:21" x14ac:dyDescent="0.25">
      <c r="T749" t="str">
        <f>IF($E749="","",COUNTIF($E$2:$E749,$E749))</f>
        <v/>
      </c>
      <c r="U749" t="str">
        <f t="shared" si="11"/>
        <v/>
      </c>
    </row>
    <row r="750" spans="20:21" x14ac:dyDescent="0.25">
      <c r="T750" t="str">
        <f>IF($E750="","",COUNTIF($E$2:$E750,$E750))</f>
        <v/>
      </c>
      <c r="U750" t="str">
        <f t="shared" si="11"/>
        <v/>
      </c>
    </row>
    <row r="751" spans="20:21" x14ac:dyDescent="0.25">
      <c r="T751" t="str">
        <f>IF($E751="","",COUNTIF($E$2:$E751,$E751))</f>
        <v/>
      </c>
      <c r="U751" t="str">
        <f t="shared" si="11"/>
        <v/>
      </c>
    </row>
    <row r="752" spans="20:21" x14ac:dyDescent="0.25">
      <c r="T752" t="str">
        <f>IF($E752="","",COUNTIF($E$2:$E752,$E752))</f>
        <v/>
      </c>
      <c r="U752" t="str">
        <f t="shared" si="11"/>
        <v/>
      </c>
    </row>
    <row r="753" spans="20:21" x14ac:dyDescent="0.25">
      <c r="T753" t="str">
        <f>IF($E753="","",COUNTIF($E$2:$E753,$E753))</f>
        <v/>
      </c>
      <c r="U753" t="str">
        <f t="shared" si="11"/>
        <v/>
      </c>
    </row>
    <row r="754" spans="20:21" x14ac:dyDescent="0.25">
      <c r="T754" t="str">
        <f>IF($E754="","",COUNTIF($E$2:$E754,$E754))</f>
        <v/>
      </c>
      <c r="U754" t="str">
        <f t="shared" si="11"/>
        <v/>
      </c>
    </row>
    <row r="755" spans="20:21" x14ac:dyDescent="0.25">
      <c r="T755" t="str">
        <f>IF($E755="","",COUNTIF($E$2:$E755,$E755))</f>
        <v/>
      </c>
      <c r="U755" t="str">
        <f t="shared" si="11"/>
        <v/>
      </c>
    </row>
    <row r="756" spans="20:21" x14ac:dyDescent="0.25">
      <c r="T756" t="str">
        <f>IF($E756="","",COUNTIF($E$2:$E756,$E756))</f>
        <v/>
      </c>
      <c r="U756" t="str">
        <f t="shared" si="11"/>
        <v/>
      </c>
    </row>
    <row r="757" spans="20:21" x14ac:dyDescent="0.25">
      <c r="T757" t="str">
        <f>IF($E757="","",COUNTIF($E$2:$E757,$E757))</f>
        <v/>
      </c>
      <c r="U757" t="str">
        <f t="shared" si="11"/>
        <v/>
      </c>
    </row>
    <row r="758" spans="20:21" x14ac:dyDescent="0.25">
      <c r="T758" t="str">
        <f>IF($E758="","",COUNTIF($E$2:$E758,$E758))</f>
        <v/>
      </c>
      <c r="U758" t="str">
        <f t="shared" si="11"/>
        <v/>
      </c>
    </row>
    <row r="759" spans="20:21" x14ac:dyDescent="0.25">
      <c r="T759" t="str">
        <f>IF($E759="","",COUNTIF($E$2:$E759,$E759))</f>
        <v/>
      </c>
      <c r="U759" t="str">
        <f t="shared" si="11"/>
        <v/>
      </c>
    </row>
    <row r="760" spans="20:21" x14ac:dyDescent="0.25">
      <c r="T760" t="str">
        <f>IF($E760="","",COUNTIF($E$2:$E760,$E760))</f>
        <v/>
      </c>
      <c r="U760" t="str">
        <f t="shared" si="11"/>
        <v/>
      </c>
    </row>
    <row r="761" spans="20:21" x14ac:dyDescent="0.25">
      <c r="T761" t="str">
        <f>IF($E761="","",COUNTIF($E$2:$E761,$E761))</f>
        <v/>
      </c>
      <c r="U761" t="str">
        <f t="shared" si="11"/>
        <v/>
      </c>
    </row>
    <row r="762" spans="20:21" x14ac:dyDescent="0.25">
      <c r="T762" t="str">
        <f>IF($E762="","",COUNTIF($E$2:$E762,$E762))</f>
        <v/>
      </c>
      <c r="U762" t="str">
        <f t="shared" si="11"/>
        <v/>
      </c>
    </row>
    <row r="763" spans="20:21" x14ac:dyDescent="0.25">
      <c r="T763" t="str">
        <f>IF($E763="","",COUNTIF($E$2:$E763,$E763))</f>
        <v/>
      </c>
      <c r="U763" t="str">
        <f t="shared" si="11"/>
        <v/>
      </c>
    </row>
    <row r="764" spans="20:21" x14ac:dyDescent="0.25">
      <c r="T764" t="str">
        <f>IF($E764="","",COUNTIF($E$2:$E764,$E764))</f>
        <v/>
      </c>
      <c r="U764" t="str">
        <f t="shared" si="11"/>
        <v/>
      </c>
    </row>
    <row r="765" spans="20:21" x14ac:dyDescent="0.25">
      <c r="T765" t="str">
        <f>IF($E765="","",COUNTIF($E$2:$E765,$E765))</f>
        <v/>
      </c>
      <c r="U765" t="str">
        <f t="shared" si="11"/>
        <v/>
      </c>
    </row>
    <row r="766" spans="20:21" x14ac:dyDescent="0.25">
      <c r="T766" t="str">
        <f>IF($E766="","",COUNTIF($E$2:$E766,$E766))</f>
        <v/>
      </c>
      <c r="U766" t="str">
        <f t="shared" si="11"/>
        <v/>
      </c>
    </row>
    <row r="767" spans="20:21" x14ac:dyDescent="0.25">
      <c r="T767" t="str">
        <f>IF($E767="","",COUNTIF($E$2:$E767,$E767))</f>
        <v/>
      </c>
      <c r="U767" t="str">
        <f t="shared" si="11"/>
        <v/>
      </c>
    </row>
    <row r="768" spans="20:21" x14ac:dyDescent="0.25">
      <c r="T768" t="str">
        <f>IF($E768="","",COUNTIF($E$2:$E768,$E768))</f>
        <v/>
      </c>
      <c r="U768" t="str">
        <f t="shared" si="11"/>
        <v/>
      </c>
    </row>
    <row r="769" spans="20:21" x14ac:dyDescent="0.25">
      <c r="T769" t="str">
        <f>IF($E769="","",COUNTIF($E$2:$E769,$E769))</f>
        <v/>
      </c>
      <c r="U769" t="str">
        <f t="shared" si="11"/>
        <v/>
      </c>
    </row>
    <row r="770" spans="20:21" x14ac:dyDescent="0.25">
      <c r="T770" t="str">
        <f>IF($E770="","",COUNTIF($E$2:$E770,$E770))</f>
        <v/>
      </c>
      <c r="U770" t="str">
        <f t="shared" ref="U770:U833" si="12">IF($E770="","",$E770&amp;"|"&amp;T770)</f>
        <v/>
      </c>
    </row>
    <row r="771" spans="20:21" x14ac:dyDescent="0.25">
      <c r="T771" t="str">
        <f>IF($E771="","",COUNTIF($E$2:$E771,$E771))</f>
        <v/>
      </c>
      <c r="U771" t="str">
        <f t="shared" si="12"/>
        <v/>
      </c>
    </row>
    <row r="772" spans="20:21" x14ac:dyDescent="0.25">
      <c r="T772" t="str">
        <f>IF($E772="","",COUNTIF($E$2:$E772,$E772))</f>
        <v/>
      </c>
      <c r="U772" t="str">
        <f t="shared" si="12"/>
        <v/>
      </c>
    </row>
    <row r="773" spans="20:21" x14ac:dyDescent="0.25">
      <c r="T773" t="str">
        <f>IF($E773="","",COUNTIF($E$2:$E773,$E773))</f>
        <v/>
      </c>
      <c r="U773" t="str">
        <f t="shared" si="12"/>
        <v/>
      </c>
    </row>
    <row r="774" spans="20:21" x14ac:dyDescent="0.25">
      <c r="T774" t="str">
        <f>IF($E774="","",COUNTIF($E$2:$E774,$E774))</f>
        <v/>
      </c>
      <c r="U774" t="str">
        <f t="shared" si="12"/>
        <v/>
      </c>
    </row>
    <row r="775" spans="20:21" x14ac:dyDescent="0.25">
      <c r="T775" t="str">
        <f>IF($E775="","",COUNTIF($E$2:$E775,$E775))</f>
        <v/>
      </c>
      <c r="U775" t="str">
        <f t="shared" si="12"/>
        <v/>
      </c>
    </row>
    <row r="776" spans="20:21" x14ac:dyDescent="0.25">
      <c r="T776" t="str">
        <f>IF($E776="","",COUNTIF($E$2:$E776,$E776))</f>
        <v/>
      </c>
      <c r="U776" t="str">
        <f t="shared" si="12"/>
        <v/>
      </c>
    </row>
    <row r="777" spans="20:21" x14ac:dyDescent="0.25">
      <c r="T777" t="str">
        <f>IF($E777="","",COUNTIF($E$2:$E777,$E777))</f>
        <v/>
      </c>
      <c r="U777" t="str">
        <f t="shared" si="12"/>
        <v/>
      </c>
    </row>
    <row r="778" spans="20:21" x14ac:dyDescent="0.25">
      <c r="T778" t="str">
        <f>IF($E778="","",COUNTIF($E$2:$E778,$E778))</f>
        <v/>
      </c>
      <c r="U778" t="str">
        <f t="shared" si="12"/>
        <v/>
      </c>
    </row>
    <row r="779" spans="20:21" x14ac:dyDescent="0.25">
      <c r="T779" t="str">
        <f>IF($E779="","",COUNTIF($E$2:$E779,$E779))</f>
        <v/>
      </c>
      <c r="U779" t="str">
        <f t="shared" si="12"/>
        <v/>
      </c>
    </row>
    <row r="780" spans="20:21" x14ac:dyDescent="0.25">
      <c r="T780" t="str">
        <f>IF($E780="","",COUNTIF($E$2:$E780,$E780))</f>
        <v/>
      </c>
      <c r="U780" t="str">
        <f t="shared" si="12"/>
        <v/>
      </c>
    </row>
    <row r="781" spans="20:21" x14ac:dyDescent="0.25">
      <c r="T781" t="str">
        <f>IF($E781="","",COUNTIF($E$2:$E781,$E781))</f>
        <v/>
      </c>
      <c r="U781" t="str">
        <f t="shared" si="12"/>
        <v/>
      </c>
    </row>
    <row r="782" spans="20:21" x14ac:dyDescent="0.25">
      <c r="T782" t="str">
        <f>IF($E782="","",COUNTIF($E$2:$E782,$E782))</f>
        <v/>
      </c>
      <c r="U782" t="str">
        <f t="shared" si="12"/>
        <v/>
      </c>
    </row>
    <row r="783" spans="20:21" x14ac:dyDescent="0.25">
      <c r="T783" t="str">
        <f>IF($E783="","",COUNTIF($E$2:$E783,$E783))</f>
        <v/>
      </c>
      <c r="U783" t="str">
        <f t="shared" si="12"/>
        <v/>
      </c>
    </row>
    <row r="784" spans="20:21" x14ac:dyDescent="0.25">
      <c r="T784" t="str">
        <f>IF($E784="","",COUNTIF($E$2:$E784,$E784))</f>
        <v/>
      </c>
      <c r="U784" t="str">
        <f t="shared" si="12"/>
        <v/>
      </c>
    </row>
    <row r="785" spans="20:21" x14ac:dyDescent="0.25">
      <c r="T785" t="str">
        <f>IF($E785="","",COUNTIF($E$2:$E785,$E785))</f>
        <v/>
      </c>
      <c r="U785" t="str">
        <f t="shared" si="12"/>
        <v/>
      </c>
    </row>
    <row r="786" spans="20:21" x14ac:dyDescent="0.25">
      <c r="T786" t="str">
        <f>IF($E786="","",COUNTIF($E$2:$E786,$E786))</f>
        <v/>
      </c>
      <c r="U786" t="str">
        <f t="shared" si="12"/>
        <v/>
      </c>
    </row>
    <row r="787" spans="20:21" x14ac:dyDescent="0.25">
      <c r="T787" t="str">
        <f>IF($E787="","",COUNTIF($E$2:$E787,$E787))</f>
        <v/>
      </c>
      <c r="U787" t="str">
        <f t="shared" si="12"/>
        <v/>
      </c>
    </row>
    <row r="788" spans="20:21" x14ac:dyDescent="0.25">
      <c r="T788" t="str">
        <f>IF($E788="","",COUNTIF($E$2:$E788,$E788))</f>
        <v/>
      </c>
      <c r="U788" t="str">
        <f t="shared" si="12"/>
        <v/>
      </c>
    </row>
    <row r="789" spans="20:21" x14ac:dyDescent="0.25">
      <c r="T789" t="str">
        <f>IF($E789="","",COUNTIF($E$2:$E789,$E789))</f>
        <v/>
      </c>
      <c r="U789" t="str">
        <f t="shared" si="12"/>
        <v/>
      </c>
    </row>
    <row r="790" spans="20:21" x14ac:dyDescent="0.25">
      <c r="T790" t="str">
        <f>IF($E790="","",COUNTIF($E$2:$E790,$E790))</f>
        <v/>
      </c>
      <c r="U790" t="str">
        <f t="shared" si="12"/>
        <v/>
      </c>
    </row>
    <row r="791" spans="20:21" x14ac:dyDescent="0.25">
      <c r="T791" t="str">
        <f>IF($E791="","",COUNTIF($E$2:$E791,$E791))</f>
        <v/>
      </c>
      <c r="U791" t="str">
        <f t="shared" si="12"/>
        <v/>
      </c>
    </row>
    <row r="792" spans="20:21" x14ac:dyDescent="0.25">
      <c r="T792" t="str">
        <f>IF($E792="","",COUNTIF($E$2:$E792,$E792))</f>
        <v/>
      </c>
      <c r="U792" t="str">
        <f t="shared" si="12"/>
        <v/>
      </c>
    </row>
    <row r="793" spans="20:21" x14ac:dyDescent="0.25">
      <c r="T793" t="str">
        <f>IF($E793="","",COUNTIF($E$2:$E793,$E793))</f>
        <v/>
      </c>
      <c r="U793" t="str">
        <f t="shared" si="12"/>
        <v/>
      </c>
    </row>
    <row r="794" spans="20:21" x14ac:dyDescent="0.25">
      <c r="T794" t="str">
        <f>IF($E794="","",COUNTIF($E$2:$E794,$E794))</f>
        <v/>
      </c>
      <c r="U794" t="str">
        <f t="shared" si="12"/>
        <v/>
      </c>
    </row>
    <row r="795" spans="20:21" x14ac:dyDescent="0.25">
      <c r="T795" t="str">
        <f>IF($E795="","",COUNTIF($E$2:$E795,$E795))</f>
        <v/>
      </c>
      <c r="U795" t="str">
        <f t="shared" si="12"/>
        <v/>
      </c>
    </row>
    <row r="796" spans="20:21" x14ac:dyDescent="0.25">
      <c r="T796" t="str">
        <f>IF($E796="","",COUNTIF($E$2:$E796,$E796))</f>
        <v/>
      </c>
      <c r="U796" t="str">
        <f t="shared" si="12"/>
        <v/>
      </c>
    </row>
    <row r="797" spans="20:21" x14ac:dyDescent="0.25">
      <c r="T797" t="str">
        <f>IF($E797="","",COUNTIF($E$2:$E797,$E797))</f>
        <v/>
      </c>
      <c r="U797" t="str">
        <f t="shared" si="12"/>
        <v/>
      </c>
    </row>
    <row r="798" spans="20:21" x14ac:dyDescent="0.25">
      <c r="T798" t="str">
        <f>IF($E798="","",COUNTIF($E$2:$E798,$E798))</f>
        <v/>
      </c>
      <c r="U798" t="str">
        <f t="shared" si="12"/>
        <v/>
      </c>
    </row>
    <row r="799" spans="20:21" x14ac:dyDescent="0.25">
      <c r="T799" t="str">
        <f>IF($E799="","",COUNTIF($E$2:$E799,$E799))</f>
        <v/>
      </c>
      <c r="U799" t="str">
        <f t="shared" si="12"/>
        <v/>
      </c>
    </row>
    <row r="800" spans="20:21" x14ac:dyDescent="0.25">
      <c r="T800" t="str">
        <f>IF($E800="","",COUNTIF($E$2:$E800,$E800))</f>
        <v/>
      </c>
      <c r="U800" t="str">
        <f t="shared" si="12"/>
        <v/>
      </c>
    </row>
    <row r="801" spans="20:21" x14ac:dyDescent="0.25">
      <c r="T801" t="str">
        <f>IF($E801="","",COUNTIF($E$2:$E801,$E801))</f>
        <v/>
      </c>
      <c r="U801" t="str">
        <f t="shared" si="12"/>
        <v/>
      </c>
    </row>
    <row r="802" spans="20:21" x14ac:dyDescent="0.25">
      <c r="T802" t="str">
        <f>IF($E802="","",COUNTIF($E$2:$E802,$E802))</f>
        <v/>
      </c>
      <c r="U802" t="str">
        <f t="shared" si="12"/>
        <v/>
      </c>
    </row>
    <row r="803" spans="20:21" x14ac:dyDescent="0.25">
      <c r="T803" t="str">
        <f>IF($E803="","",COUNTIF($E$2:$E803,$E803))</f>
        <v/>
      </c>
      <c r="U803" t="str">
        <f t="shared" si="12"/>
        <v/>
      </c>
    </row>
    <row r="804" spans="20:21" x14ac:dyDescent="0.25">
      <c r="T804" t="str">
        <f>IF($E804="","",COUNTIF($E$2:$E804,$E804))</f>
        <v/>
      </c>
      <c r="U804" t="str">
        <f t="shared" si="12"/>
        <v/>
      </c>
    </row>
    <row r="805" spans="20:21" x14ac:dyDescent="0.25">
      <c r="T805" t="str">
        <f>IF($E805="","",COUNTIF($E$2:$E805,$E805))</f>
        <v/>
      </c>
      <c r="U805" t="str">
        <f t="shared" si="12"/>
        <v/>
      </c>
    </row>
    <row r="806" spans="20:21" x14ac:dyDescent="0.25">
      <c r="T806" t="str">
        <f>IF($E806="","",COUNTIF($E$2:$E806,$E806))</f>
        <v/>
      </c>
      <c r="U806" t="str">
        <f t="shared" si="12"/>
        <v/>
      </c>
    </row>
    <row r="807" spans="20:21" x14ac:dyDescent="0.25">
      <c r="T807" t="str">
        <f>IF($E807="","",COUNTIF($E$2:$E807,$E807))</f>
        <v/>
      </c>
      <c r="U807" t="str">
        <f t="shared" si="12"/>
        <v/>
      </c>
    </row>
    <row r="808" spans="20:21" x14ac:dyDescent="0.25">
      <c r="T808" t="str">
        <f>IF($E808="","",COUNTIF($E$2:$E808,$E808))</f>
        <v/>
      </c>
      <c r="U808" t="str">
        <f t="shared" si="12"/>
        <v/>
      </c>
    </row>
    <row r="809" spans="20:21" x14ac:dyDescent="0.25">
      <c r="T809" t="str">
        <f>IF($E809="","",COUNTIF($E$2:$E809,$E809))</f>
        <v/>
      </c>
      <c r="U809" t="str">
        <f t="shared" si="12"/>
        <v/>
      </c>
    </row>
    <row r="810" spans="20:21" x14ac:dyDescent="0.25">
      <c r="T810" t="str">
        <f>IF($E810="","",COUNTIF($E$2:$E810,$E810))</f>
        <v/>
      </c>
      <c r="U810" t="str">
        <f t="shared" si="12"/>
        <v/>
      </c>
    </row>
    <row r="811" spans="20:21" x14ac:dyDescent="0.25">
      <c r="T811" t="str">
        <f>IF($E811="","",COUNTIF($E$2:$E811,$E811))</f>
        <v/>
      </c>
      <c r="U811" t="str">
        <f t="shared" si="12"/>
        <v/>
      </c>
    </row>
    <row r="812" spans="20:21" x14ac:dyDescent="0.25">
      <c r="T812" t="str">
        <f>IF($E812="","",COUNTIF($E$2:$E812,$E812))</f>
        <v/>
      </c>
      <c r="U812" t="str">
        <f t="shared" si="12"/>
        <v/>
      </c>
    </row>
    <row r="813" spans="20:21" x14ac:dyDescent="0.25">
      <c r="T813" t="str">
        <f>IF($E813="","",COUNTIF($E$2:$E813,$E813))</f>
        <v/>
      </c>
      <c r="U813" t="str">
        <f t="shared" si="12"/>
        <v/>
      </c>
    </row>
    <row r="814" spans="20:21" x14ac:dyDescent="0.25">
      <c r="T814" t="str">
        <f>IF($E814="","",COUNTIF($E$2:$E814,$E814))</f>
        <v/>
      </c>
      <c r="U814" t="str">
        <f t="shared" si="12"/>
        <v/>
      </c>
    </row>
    <row r="815" spans="20:21" x14ac:dyDescent="0.25">
      <c r="T815" t="str">
        <f>IF($E815="","",COUNTIF($E$2:$E815,$E815))</f>
        <v/>
      </c>
      <c r="U815" t="str">
        <f t="shared" si="12"/>
        <v/>
      </c>
    </row>
    <row r="816" spans="20:21" x14ac:dyDescent="0.25">
      <c r="T816" t="str">
        <f>IF($E816="","",COUNTIF($E$2:$E816,$E816))</f>
        <v/>
      </c>
      <c r="U816" t="str">
        <f t="shared" si="12"/>
        <v/>
      </c>
    </row>
    <row r="817" spans="20:21" x14ac:dyDescent="0.25">
      <c r="T817" t="str">
        <f>IF($E817="","",COUNTIF($E$2:$E817,$E817))</f>
        <v/>
      </c>
      <c r="U817" t="str">
        <f t="shared" si="12"/>
        <v/>
      </c>
    </row>
    <row r="818" spans="20:21" x14ac:dyDescent="0.25">
      <c r="T818" t="str">
        <f>IF($E818="","",COUNTIF($E$2:$E818,$E818))</f>
        <v/>
      </c>
      <c r="U818" t="str">
        <f t="shared" si="12"/>
        <v/>
      </c>
    </row>
    <row r="819" spans="20:21" x14ac:dyDescent="0.25">
      <c r="T819" t="str">
        <f>IF($E819="","",COUNTIF($E$2:$E819,$E819))</f>
        <v/>
      </c>
      <c r="U819" t="str">
        <f t="shared" si="12"/>
        <v/>
      </c>
    </row>
    <row r="820" spans="20:21" x14ac:dyDescent="0.25">
      <c r="T820" t="str">
        <f>IF($E820="","",COUNTIF($E$2:$E820,$E820))</f>
        <v/>
      </c>
      <c r="U820" t="str">
        <f t="shared" si="12"/>
        <v/>
      </c>
    </row>
    <row r="821" spans="20:21" x14ac:dyDescent="0.25">
      <c r="T821" t="str">
        <f>IF($E821="","",COUNTIF($E$2:$E821,$E821))</f>
        <v/>
      </c>
      <c r="U821" t="str">
        <f t="shared" si="12"/>
        <v/>
      </c>
    </row>
    <row r="822" spans="20:21" x14ac:dyDescent="0.25">
      <c r="T822" t="str">
        <f>IF($E822="","",COUNTIF($E$2:$E822,$E822))</f>
        <v/>
      </c>
      <c r="U822" t="str">
        <f t="shared" si="12"/>
        <v/>
      </c>
    </row>
    <row r="823" spans="20:21" x14ac:dyDescent="0.25">
      <c r="T823" t="str">
        <f>IF($E823="","",COUNTIF($E$2:$E823,$E823))</f>
        <v/>
      </c>
      <c r="U823" t="str">
        <f t="shared" si="12"/>
        <v/>
      </c>
    </row>
    <row r="824" spans="20:21" x14ac:dyDescent="0.25">
      <c r="T824" t="str">
        <f>IF($E824="","",COUNTIF($E$2:$E824,$E824))</f>
        <v/>
      </c>
      <c r="U824" t="str">
        <f t="shared" si="12"/>
        <v/>
      </c>
    </row>
    <row r="825" spans="20:21" x14ac:dyDescent="0.25">
      <c r="T825" t="str">
        <f>IF($E825="","",COUNTIF($E$2:$E825,$E825))</f>
        <v/>
      </c>
      <c r="U825" t="str">
        <f t="shared" si="12"/>
        <v/>
      </c>
    </row>
    <row r="826" spans="20:21" x14ac:dyDescent="0.25">
      <c r="T826" t="str">
        <f>IF($E826="","",COUNTIF($E$2:$E826,$E826))</f>
        <v/>
      </c>
      <c r="U826" t="str">
        <f t="shared" si="12"/>
        <v/>
      </c>
    </row>
    <row r="827" spans="20:21" x14ac:dyDescent="0.25">
      <c r="T827" t="str">
        <f>IF($E827="","",COUNTIF($E$2:$E827,$E827))</f>
        <v/>
      </c>
      <c r="U827" t="str">
        <f t="shared" si="12"/>
        <v/>
      </c>
    </row>
    <row r="828" spans="20:21" x14ac:dyDescent="0.25">
      <c r="T828" t="str">
        <f>IF($E828="","",COUNTIF($E$2:$E828,$E828))</f>
        <v/>
      </c>
      <c r="U828" t="str">
        <f t="shared" si="12"/>
        <v/>
      </c>
    </row>
    <row r="829" spans="20:21" x14ac:dyDescent="0.25">
      <c r="T829" t="str">
        <f>IF($E829="","",COUNTIF($E$2:$E829,$E829))</f>
        <v/>
      </c>
      <c r="U829" t="str">
        <f t="shared" si="12"/>
        <v/>
      </c>
    </row>
    <row r="830" spans="20:21" x14ac:dyDescent="0.25">
      <c r="T830" t="str">
        <f>IF($E830="","",COUNTIF($E$2:$E830,$E830))</f>
        <v/>
      </c>
      <c r="U830" t="str">
        <f t="shared" si="12"/>
        <v/>
      </c>
    </row>
    <row r="831" spans="20:21" x14ac:dyDescent="0.25">
      <c r="T831" t="str">
        <f>IF($E831="","",COUNTIF($E$2:$E831,$E831))</f>
        <v/>
      </c>
      <c r="U831" t="str">
        <f t="shared" si="12"/>
        <v/>
      </c>
    </row>
    <row r="832" spans="20:21" x14ac:dyDescent="0.25">
      <c r="T832" t="str">
        <f>IF($E832="","",COUNTIF($E$2:$E832,$E832))</f>
        <v/>
      </c>
      <c r="U832" t="str">
        <f t="shared" si="12"/>
        <v/>
      </c>
    </row>
    <row r="833" spans="20:21" x14ac:dyDescent="0.25">
      <c r="T833" t="str">
        <f>IF($E833="","",COUNTIF($E$2:$E833,$E833))</f>
        <v/>
      </c>
      <c r="U833" t="str">
        <f t="shared" si="12"/>
        <v/>
      </c>
    </row>
    <row r="834" spans="20:21" x14ac:dyDescent="0.25">
      <c r="T834" t="str">
        <f>IF($E834="","",COUNTIF($E$2:$E834,$E834))</f>
        <v/>
      </c>
      <c r="U834" t="str">
        <f t="shared" ref="U834:U897" si="13">IF($E834="","",$E834&amp;"|"&amp;T834)</f>
        <v/>
      </c>
    </row>
    <row r="835" spans="20:21" x14ac:dyDescent="0.25">
      <c r="T835" t="str">
        <f>IF($E835="","",COUNTIF($E$2:$E835,$E835))</f>
        <v/>
      </c>
      <c r="U835" t="str">
        <f t="shared" si="13"/>
        <v/>
      </c>
    </row>
    <row r="836" spans="20:21" x14ac:dyDescent="0.25">
      <c r="T836" t="str">
        <f>IF($E836="","",COUNTIF($E$2:$E836,$E836))</f>
        <v/>
      </c>
      <c r="U836" t="str">
        <f t="shared" si="13"/>
        <v/>
      </c>
    </row>
    <row r="837" spans="20:21" x14ac:dyDescent="0.25">
      <c r="T837" t="str">
        <f>IF($E837="","",COUNTIF($E$2:$E837,$E837))</f>
        <v/>
      </c>
      <c r="U837" t="str">
        <f t="shared" si="13"/>
        <v/>
      </c>
    </row>
    <row r="838" spans="20:21" x14ac:dyDescent="0.25">
      <c r="T838" t="str">
        <f>IF($E838="","",COUNTIF($E$2:$E838,$E838))</f>
        <v/>
      </c>
      <c r="U838" t="str">
        <f t="shared" si="13"/>
        <v/>
      </c>
    </row>
    <row r="839" spans="20:21" x14ac:dyDescent="0.25">
      <c r="T839" t="str">
        <f>IF($E839="","",COUNTIF($E$2:$E839,$E839))</f>
        <v/>
      </c>
      <c r="U839" t="str">
        <f t="shared" si="13"/>
        <v/>
      </c>
    </row>
    <row r="840" spans="20:21" x14ac:dyDescent="0.25">
      <c r="T840" t="str">
        <f>IF($E840="","",COUNTIF($E$2:$E840,$E840))</f>
        <v/>
      </c>
      <c r="U840" t="str">
        <f t="shared" si="13"/>
        <v/>
      </c>
    </row>
    <row r="841" spans="20:21" x14ac:dyDescent="0.25">
      <c r="T841" t="str">
        <f>IF($E841="","",COUNTIF($E$2:$E841,$E841))</f>
        <v/>
      </c>
      <c r="U841" t="str">
        <f t="shared" si="13"/>
        <v/>
      </c>
    </row>
    <row r="842" spans="20:21" x14ac:dyDescent="0.25">
      <c r="T842" t="str">
        <f>IF($E842="","",COUNTIF($E$2:$E842,$E842))</f>
        <v/>
      </c>
      <c r="U842" t="str">
        <f t="shared" si="13"/>
        <v/>
      </c>
    </row>
    <row r="843" spans="20:21" x14ac:dyDescent="0.25">
      <c r="T843" t="str">
        <f>IF($E843="","",COUNTIF($E$2:$E843,$E843))</f>
        <v/>
      </c>
      <c r="U843" t="str">
        <f t="shared" si="13"/>
        <v/>
      </c>
    </row>
    <row r="844" spans="20:21" x14ac:dyDescent="0.25">
      <c r="T844" t="str">
        <f>IF($E844="","",COUNTIF($E$2:$E844,$E844))</f>
        <v/>
      </c>
      <c r="U844" t="str">
        <f t="shared" si="13"/>
        <v/>
      </c>
    </row>
    <row r="845" spans="20:21" x14ac:dyDescent="0.25">
      <c r="T845" t="str">
        <f>IF($E845="","",COUNTIF($E$2:$E845,$E845))</f>
        <v/>
      </c>
      <c r="U845" t="str">
        <f t="shared" si="13"/>
        <v/>
      </c>
    </row>
    <row r="846" spans="20:21" x14ac:dyDescent="0.25">
      <c r="T846" t="str">
        <f>IF($E846="","",COUNTIF($E$2:$E846,$E846))</f>
        <v/>
      </c>
      <c r="U846" t="str">
        <f t="shared" si="13"/>
        <v/>
      </c>
    </row>
    <row r="847" spans="20:21" x14ac:dyDescent="0.25">
      <c r="T847" t="str">
        <f>IF($E847="","",COUNTIF($E$2:$E847,$E847))</f>
        <v/>
      </c>
      <c r="U847" t="str">
        <f t="shared" si="13"/>
        <v/>
      </c>
    </row>
    <row r="848" spans="20:21" x14ac:dyDescent="0.25">
      <c r="T848" t="str">
        <f>IF($E848="","",COUNTIF($E$2:$E848,$E848))</f>
        <v/>
      </c>
      <c r="U848" t="str">
        <f t="shared" si="13"/>
        <v/>
      </c>
    </row>
    <row r="849" spans="20:21" x14ac:dyDescent="0.25">
      <c r="T849" t="str">
        <f>IF($E849="","",COUNTIF($E$2:$E849,$E849))</f>
        <v/>
      </c>
      <c r="U849" t="str">
        <f t="shared" si="13"/>
        <v/>
      </c>
    </row>
    <row r="850" spans="20:21" x14ac:dyDescent="0.25">
      <c r="T850" t="str">
        <f>IF($E850="","",COUNTIF($E$2:$E850,$E850))</f>
        <v/>
      </c>
      <c r="U850" t="str">
        <f t="shared" si="13"/>
        <v/>
      </c>
    </row>
    <row r="851" spans="20:21" x14ac:dyDescent="0.25">
      <c r="T851" t="str">
        <f>IF($E851="","",COUNTIF($E$2:$E851,$E851))</f>
        <v/>
      </c>
      <c r="U851" t="str">
        <f t="shared" si="13"/>
        <v/>
      </c>
    </row>
    <row r="852" spans="20:21" x14ac:dyDescent="0.25">
      <c r="T852" t="str">
        <f>IF($E852="","",COUNTIF($E$2:$E852,$E852))</f>
        <v/>
      </c>
      <c r="U852" t="str">
        <f t="shared" si="13"/>
        <v/>
      </c>
    </row>
    <row r="853" spans="20:21" x14ac:dyDescent="0.25">
      <c r="T853" t="str">
        <f>IF($E853="","",COUNTIF($E$2:$E853,$E853))</f>
        <v/>
      </c>
      <c r="U853" t="str">
        <f t="shared" si="13"/>
        <v/>
      </c>
    </row>
    <row r="854" spans="20:21" x14ac:dyDescent="0.25">
      <c r="T854" t="str">
        <f>IF($E854="","",COUNTIF($E$2:$E854,$E854))</f>
        <v/>
      </c>
      <c r="U854" t="str">
        <f t="shared" si="13"/>
        <v/>
      </c>
    </row>
    <row r="855" spans="20:21" x14ac:dyDescent="0.25">
      <c r="T855" t="str">
        <f>IF($E855="","",COUNTIF($E$2:$E855,$E855))</f>
        <v/>
      </c>
      <c r="U855" t="str">
        <f t="shared" si="13"/>
        <v/>
      </c>
    </row>
    <row r="856" spans="20:21" x14ac:dyDescent="0.25">
      <c r="T856" t="str">
        <f>IF($E856="","",COUNTIF($E$2:$E856,$E856))</f>
        <v/>
      </c>
      <c r="U856" t="str">
        <f t="shared" si="13"/>
        <v/>
      </c>
    </row>
    <row r="857" spans="20:21" x14ac:dyDescent="0.25">
      <c r="T857" t="str">
        <f>IF($E857="","",COUNTIF($E$2:$E857,$E857))</f>
        <v/>
      </c>
      <c r="U857" t="str">
        <f t="shared" si="13"/>
        <v/>
      </c>
    </row>
    <row r="858" spans="20:21" x14ac:dyDescent="0.25">
      <c r="T858" t="str">
        <f>IF($E858="","",COUNTIF($E$2:$E858,$E858))</f>
        <v/>
      </c>
      <c r="U858" t="str">
        <f t="shared" si="13"/>
        <v/>
      </c>
    </row>
    <row r="859" spans="20:21" x14ac:dyDescent="0.25">
      <c r="T859" t="str">
        <f>IF($E859="","",COUNTIF($E$2:$E859,$E859))</f>
        <v/>
      </c>
      <c r="U859" t="str">
        <f t="shared" si="13"/>
        <v/>
      </c>
    </row>
    <row r="860" spans="20:21" x14ac:dyDescent="0.25">
      <c r="T860" t="str">
        <f>IF($E860="","",COUNTIF($E$2:$E860,$E860))</f>
        <v/>
      </c>
      <c r="U860" t="str">
        <f t="shared" si="13"/>
        <v/>
      </c>
    </row>
    <row r="861" spans="20:21" x14ac:dyDescent="0.25">
      <c r="T861" t="str">
        <f>IF($E861="","",COUNTIF($E$2:$E861,$E861))</f>
        <v/>
      </c>
      <c r="U861" t="str">
        <f t="shared" si="13"/>
        <v/>
      </c>
    </row>
    <row r="862" spans="20:21" x14ac:dyDescent="0.25">
      <c r="T862" t="str">
        <f>IF($E862="","",COUNTIF($E$2:$E862,$E862))</f>
        <v/>
      </c>
      <c r="U862" t="str">
        <f t="shared" si="13"/>
        <v/>
      </c>
    </row>
    <row r="863" spans="20:21" x14ac:dyDescent="0.25">
      <c r="T863" t="str">
        <f>IF($E863="","",COUNTIF($E$2:$E863,$E863))</f>
        <v/>
      </c>
      <c r="U863" t="str">
        <f t="shared" si="13"/>
        <v/>
      </c>
    </row>
    <row r="864" spans="20:21" x14ac:dyDescent="0.25">
      <c r="T864" t="str">
        <f>IF($E864="","",COUNTIF($E$2:$E864,$E864))</f>
        <v/>
      </c>
      <c r="U864" t="str">
        <f t="shared" si="13"/>
        <v/>
      </c>
    </row>
    <row r="865" spans="20:21" x14ac:dyDescent="0.25">
      <c r="T865" t="str">
        <f>IF($E865="","",COUNTIF($E$2:$E865,$E865))</f>
        <v/>
      </c>
      <c r="U865" t="str">
        <f t="shared" si="13"/>
        <v/>
      </c>
    </row>
    <row r="866" spans="20:21" x14ac:dyDescent="0.25">
      <c r="T866" t="str">
        <f>IF($E866="","",COUNTIF($E$2:$E866,$E866))</f>
        <v/>
      </c>
      <c r="U866" t="str">
        <f t="shared" si="13"/>
        <v/>
      </c>
    </row>
    <row r="867" spans="20:21" x14ac:dyDescent="0.25">
      <c r="T867" t="str">
        <f>IF($E867="","",COUNTIF($E$2:$E867,$E867))</f>
        <v/>
      </c>
      <c r="U867" t="str">
        <f t="shared" si="13"/>
        <v/>
      </c>
    </row>
    <row r="868" spans="20:21" x14ac:dyDescent="0.25">
      <c r="T868" t="str">
        <f>IF($E868="","",COUNTIF($E$2:$E868,$E868))</f>
        <v/>
      </c>
      <c r="U868" t="str">
        <f t="shared" si="13"/>
        <v/>
      </c>
    </row>
    <row r="869" spans="20:21" x14ac:dyDescent="0.25">
      <c r="T869" t="str">
        <f>IF($E869="","",COUNTIF($E$2:$E869,$E869))</f>
        <v/>
      </c>
      <c r="U869" t="str">
        <f t="shared" si="13"/>
        <v/>
      </c>
    </row>
    <row r="870" spans="20:21" x14ac:dyDescent="0.25">
      <c r="T870" t="str">
        <f>IF($E870="","",COUNTIF($E$2:$E870,$E870))</f>
        <v/>
      </c>
      <c r="U870" t="str">
        <f t="shared" si="13"/>
        <v/>
      </c>
    </row>
    <row r="871" spans="20:21" x14ac:dyDescent="0.25">
      <c r="T871" t="str">
        <f>IF($E871="","",COUNTIF($E$2:$E871,$E871))</f>
        <v/>
      </c>
      <c r="U871" t="str">
        <f t="shared" si="13"/>
        <v/>
      </c>
    </row>
    <row r="872" spans="20:21" x14ac:dyDescent="0.25">
      <c r="T872" t="str">
        <f>IF($E872="","",COUNTIF($E$2:$E872,$E872))</f>
        <v/>
      </c>
      <c r="U872" t="str">
        <f t="shared" si="13"/>
        <v/>
      </c>
    </row>
    <row r="873" spans="20:21" x14ac:dyDescent="0.25">
      <c r="T873" t="str">
        <f>IF($E873="","",COUNTIF($E$2:$E873,$E873))</f>
        <v/>
      </c>
      <c r="U873" t="str">
        <f t="shared" si="13"/>
        <v/>
      </c>
    </row>
    <row r="874" spans="20:21" x14ac:dyDescent="0.25">
      <c r="T874" t="str">
        <f>IF($E874="","",COUNTIF($E$2:$E874,$E874))</f>
        <v/>
      </c>
      <c r="U874" t="str">
        <f t="shared" si="13"/>
        <v/>
      </c>
    </row>
    <row r="875" spans="20:21" x14ac:dyDescent="0.25">
      <c r="T875" t="str">
        <f>IF($E875="","",COUNTIF($E$2:$E875,$E875))</f>
        <v/>
      </c>
      <c r="U875" t="str">
        <f t="shared" si="13"/>
        <v/>
      </c>
    </row>
    <row r="876" spans="20:21" x14ac:dyDescent="0.25">
      <c r="T876" t="str">
        <f>IF($E876="","",COUNTIF($E$2:$E876,$E876))</f>
        <v/>
      </c>
      <c r="U876" t="str">
        <f t="shared" si="13"/>
        <v/>
      </c>
    </row>
    <row r="877" spans="20:21" x14ac:dyDescent="0.25">
      <c r="T877" t="str">
        <f>IF($E877="","",COUNTIF($E$2:$E877,$E877))</f>
        <v/>
      </c>
      <c r="U877" t="str">
        <f t="shared" si="13"/>
        <v/>
      </c>
    </row>
    <row r="878" spans="20:21" x14ac:dyDescent="0.25">
      <c r="T878" t="str">
        <f>IF($E878="","",COUNTIF($E$2:$E878,$E878))</f>
        <v/>
      </c>
      <c r="U878" t="str">
        <f t="shared" si="13"/>
        <v/>
      </c>
    </row>
    <row r="879" spans="20:21" x14ac:dyDescent="0.25">
      <c r="T879" t="str">
        <f>IF($E879="","",COUNTIF($E$2:$E879,$E879))</f>
        <v/>
      </c>
      <c r="U879" t="str">
        <f t="shared" si="13"/>
        <v/>
      </c>
    </row>
    <row r="880" spans="20:21" x14ac:dyDescent="0.25">
      <c r="T880" t="str">
        <f>IF($E880="","",COUNTIF($E$2:$E880,$E880))</f>
        <v/>
      </c>
      <c r="U880" t="str">
        <f t="shared" si="13"/>
        <v/>
      </c>
    </row>
    <row r="881" spans="20:21" x14ac:dyDescent="0.25">
      <c r="T881" t="str">
        <f>IF($E881="","",COUNTIF($E$2:$E881,$E881))</f>
        <v/>
      </c>
      <c r="U881" t="str">
        <f t="shared" si="13"/>
        <v/>
      </c>
    </row>
    <row r="882" spans="20:21" x14ac:dyDescent="0.25">
      <c r="T882" t="str">
        <f>IF($E882="","",COUNTIF($E$2:$E882,$E882))</f>
        <v/>
      </c>
      <c r="U882" t="str">
        <f t="shared" si="13"/>
        <v/>
      </c>
    </row>
    <row r="883" spans="20:21" x14ac:dyDescent="0.25">
      <c r="T883" t="str">
        <f>IF($E883="","",COUNTIF($E$2:$E883,$E883))</f>
        <v/>
      </c>
      <c r="U883" t="str">
        <f t="shared" si="13"/>
        <v/>
      </c>
    </row>
    <row r="884" spans="20:21" x14ac:dyDescent="0.25">
      <c r="T884" t="str">
        <f>IF($E884="","",COUNTIF($E$2:$E884,$E884))</f>
        <v/>
      </c>
      <c r="U884" t="str">
        <f t="shared" si="13"/>
        <v/>
      </c>
    </row>
    <row r="885" spans="20:21" x14ac:dyDescent="0.25">
      <c r="T885" t="str">
        <f>IF($E885="","",COUNTIF($E$2:$E885,$E885))</f>
        <v/>
      </c>
      <c r="U885" t="str">
        <f t="shared" si="13"/>
        <v/>
      </c>
    </row>
    <row r="886" spans="20:21" x14ac:dyDescent="0.25">
      <c r="T886" t="str">
        <f>IF($E886="","",COUNTIF($E$2:$E886,$E886))</f>
        <v/>
      </c>
      <c r="U886" t="str">
        <f t="shared" si="13"/>
        <v/>
      </c>
    </row>
    <row r="887" spans="20:21" x14ac:dyDescent="0.25">
      <c r="T887" t="str">
        <f>IF($E887="","",COUNTIF($E$2:$E887,$E887))</f>
        <v/>
      </c>
      <c r="U887" t="str">
        <f t="shared" si="13"/>
        <v/>
      </c>
    </row>
    <row r="888" spans="20:21" x14ac:dyDescent="0.25">
      <c r="T888" t="str">
        <f>IF($E888="","",COUNTIF($E$2:$E888,$E888))</f>
        <v/>
      </c>
      <c r="U888" t="str">
        <f t="shared" si="13"/>
        <v/>
      </c>
    </row>
    <row r="889" spans="20:21" x14ac:dyDescent="0.25">
      <c r="T889" t="str">
        <f>IF($E889="","",COUNTIF($E$2:$E889,$E889))</f>
        <v/>
      </c>
      <c r="U889" t="str">
        <f t="shared" si="13"/>
        <v/>
      </c>
    </row>
    <row r="890" spans="20:21" x14ac:dyDescent="0.25">
      <c r="T890" t="str">
        <f>IF($E890="","",COUNTIF($E$2:$E890,$E890))</f>
        <v/>
      </c>
      <c r="U890" t="str">
        <f t="shared" si="13"/>
        <v/>
      </c>
    </row>
    <row r="891" spans="20:21" x14ac:dyDescent="0.25">
      <c r="T891" t="str">
        <f>IF($E891="","",COUNTIF($E$2:$E891,$E891))</f>
        <v/>
      </c>
      <c r="U891" t="str">
        <f t="shared" si="13"/>
        <v/>
      </c>
    </row>
    <row r="892" spans="20:21" x14ac:dyDescent="0.25">
      <c r="T892" t="str">
        <f>IF($E892="","",COUNTIF($E$2:$E892,$E892))</f>
        <v/>
      </c>
      <c r="U892" t="str">
        <f t="shared" si="13"/>
        <v/>
      </c>
    </row>
    <row r="893" spans="20:21" x14ac:dyDescent="0.25">
      <c r="T893" t="str">
        <f>IF($E893="","",COUNTIF($E$2:$E893,$E893))</f>
        <v/>
      </c>
      <c r="U893" t="str">
        <f t="shared" si="13"/>
        <v/>
      </c>
    </row>
    <row r="894" spans="20:21" x14ac:dyDescent="0.25">
      <c r="T894" t="str">
        <f>IF($E894="","",COUNTIF($E$2:$E894,$E894))</f>
        <v/>
      </c>
      <c r="U894" t="str">
        <f t="shared" si="13"/>
        <v/>
      </c>
    </row>
    <row r="895" spans="20:21" x14ac:dyDescent="0.25">
      <c r="T895" t="str">
        <f>IF($E895="","",COUNTIF($E$2:$E895,$E895))</f>
        <v/>
      </c>
      <c r="U895" t="str">
        <f t="shared" si="13"/>
        <v/>
      </c>
    </row>
    <row r="896" spans="20:21" x14ac:dyDescent="0.25">
      <c r="T896" t="str">
        <f>IF($E896="","",COUNTIF($E$2:$E896,$E896))</f>
        <v/>
      </c>
      <c r="U896" t="str">
        <f t="shared" si="13"/>
        <v/>
      </c>
    </row>
    <row r="897" spans="20:21" x14ac:dyDescent="0.25">
      <c r="T897" t="str">
        <f>IF($E897="","",COUNTIF($E$2:$E897,$E897))</f>
        <v/>
      </c>
      <c r="U897" t="str">
        <f t="shared" si="13"/>
        <v/>
      </c>
    </row>
    <row r="898" spans="20:21" x14ac:dyDescent="0.25">
      <c r="T898" t="str">
        <f>IF($E898="","",COUNTIF($E$2:$E898,$E898))</f>
        <v/>
      </c>
      <c r="U898" t="str">
        <f t="shared" ref="U898:U961" si="14">IF($E898="","",$E898&amp;"|"&amp;T898)</f>
        <v/>
      </c>
    </row>
    <row r="899" spans="20:21" x14ac:dyDescent="0.25">
      <c r="T899" t="str">
        <f>IF($E899="","",COUNTIF($E$2:$E899,$E899))</f>
        <v/>
      </c>
      <c r="U899" t="str">
        <f t="shared" si="14"/>
        <v/>
      </c>
    </row>
    <row r="900" spans="20:21" x14ac:dyDescent="0.25">
      <c r="T900" t="str">
        <f>IF($E900="","",COUNTIF($E$2:$E900,$E900))</f>
        <v/>
      </c>
      <c r="U900" t="str">
        <f t="shared" si="14"/>
        <v/>
      </c>
    </row>
    <row r="901" spans="20:21" x14ac:dyDescent="0.25">
      <c r="T901" t="str">
        <f>IF($E901="","",COUNTIF($E$2:$E901,$E901))</f>
        <v/>
      </c>
      <c r="U901" t="str">
        <f t="shared" si="14"/>
        <v/>
      </c>
    </row>
    <row r="902" spans="20:21" x14ac:dyDescent="0.25">
      <c r="T902" t="str">
        <f>IF($E902="","",COUNTIF($E$2:$E902,$E902))</f>
        <v/>
      </c>
      <c r="U902" t="str">
        <f t="shared" si="14"/>
        <v/>
      </c>
    </row>
    <row r="903" spans="20:21" x14ac:dyDescent="0.25">
      <c r="T903" t="str">
        <f>IF($E903="","",COUNTIF($E$2:$E903,$E903))</f>
        <v/>
      </c>
      <c r="U903" t="str">
        <f t="shared" si="14"/>
        <v/>
      </c>
    </row>
    <row r="904" spans="20:21" x14ac:dyDescent="0.25">
      <c r="T904" t="str">
        <f>IF($E904="","",COUNTIF($E$2:$E904,$E904))</f>
        <v/>
      </c>
      <c r="U904" t="str">
        <f t="shared" si="14"/>
        <v/>
      </c>
    </row>
    <row r="905" spans="20:21" x14ac:dyDescent="0.25">
      <c r="T905" t="str">
        <f>IF($E905="","",COUNTIF($E$2:$E905,$E905))</f>
        <v/>
      </c>
      <c r="U905" t="str">
        <f t="shared" si="14"/>
        <v/>
      </c>
    </row>
    <row r="906" spans="20:21" x14ac:dyDescent="0.25">
      <c r="T906" t="str">
        <f>IF($E906="","",COUNTIF($E$2:$E906,$E906))</f>
        <v/>
      </c>
      <c r="U906" t="str">
        <f t="shared" si="14"/>
        <v/>
      </c>
    </row>
    <row r="907" spans="20:21" x14ac:dyDescent="0.25">
      <c r="T907" t="str">
        <f>IF($E907="","",COUNTIF($E$2:$E907,$E907))</f>
        <v/>
      </c>
      <c r="U907" t="str">
        <f t="shared" si="14"/>
        <v/>
      </c>
    </row>
    <row r="908" spans="20:21" x14ac:dyDescent="0.25">
      <c r="T908" t="str">
        <f>IF($E908="","",COUNTIF($E$2:$E908,$E908))</f>
        <v/>
      </c>
      <c r="U908" t="str">
        <f t="shared" si="14"/>
        <v/>
      </c>
    </row>
    <row r="909" spans="20:21" x14ac:dyDescent="0.25">
      <c r="T909" t="str">
        <f>IF($E909="","",COUNTIF($E$2:$E909,$E909))</f>
        <v/>
      </c>
      <c r="U909" t="str">
        <f t="shared" si="14"/>
        <v/>
      </c>
    </row>
    <row r="910" spans="20:21" x14ac:dyDescent="0.25">
      <c r="T910" t="str">
        <f>IF($E910="","",COUNTIF($E$2:$E910,$E910))</f>
        <v/>
      </c>
      <c r="U910" t="str">
        <f t="shared" si="14"/>
        <v/>
      </c>
    </row>
    <row r="911" spans="20:21" x14ac:dyDescent="0.25">
      <c r="T911" t="str">
        <f>IF($E911="","",COUNTIF($E$2:$E911,$E911))</f>
        <v/>
      </c>
      <c r="U911" t="str">
        <f t="shared" si="14"/>
        <v/>
      </c>
    </row>
    <row r="912" spans="20:21" x14ac:dyDescent="0.25">
      <c r="T912" t="str">
        <f>IF($E912="","",COUNTIF($E$2:$E912,$E912))</f>
        <v/>
      </c>
      <c r="U912" t="str">
        <f t="shared" si="14"/>
        <v/>
      </c>
    </row>
    <row r="913" spans="20:21" x14ac:dyDescent="0.25">
      <c r="T913" t="str">
        <f>IF($E913="","",COUNTIF($E$2:$E913,$E913))</f>
        <v/>
      </c>
      <c r="U913" t="str">
        <f t="shared" si="14"/>
        <v/>
      </c>
    </row>
    <row r="914" spans="20:21" x14ac:dyDescent="0.25">
      <c r="T914" t="str">
        <f>IF($E914="","",COUNTIF($E$2:$E914,$E914))</f>
        <v/>
      </c>
      <c r="U914" t="str">
        <f t="shared" si="14"/>
        <v/>
      </c>
    </row>
    <row r="915" spans="20:21" x14ac:dyDescent="0.25">
      <c r="T915" t="str">
        <f>IF($E915="","",COUNTIF($E$2:$E915,$E915))</f>
        <v/>
      </c>
      <c r="U915" t="str">
        <f t="shared" si="14"/>
        <v/>
      </c>
    </row>
    <row r="916" spans="20:21" x14ac:dyDescent="0.25">
      <c r="T916" t="str">
        <f>IF($E916="","",COUNTIF($E$2:$E916,$E916))</f>
        <v/>
      </c>
      <c r="U916" t="str">
        <f t="shared" si="14"/>
        <v/>
      </c>
    </row>
    <row r="917" spans="20:21" x14ac:dyDescent="0.25">
      <c r="T917" t="str">
        <f>IF($E917="","",COUNTIF($E$2:$E917,$E917))</f>
        <v/>
      </c>
      <c r="U917" t="str">
        <f t="shared" si="14"/>
        <v/>
      </c>
    </row>
    <row r="918" spans="20:21" x14ac:dyDescent="0.25">
      <c r="T918" t="str">
        <f>IF($E918="","",COUNTIF($E$2:$E918,$E918))</f>
        <v/>
      </c>
      <c r="U918" t="str">
        <f t="shared" si="14"/>
        <v/>
      </c>
    </row>
    <row r="919" spans="20:21" x14ac:dyDescent="0.25">
      <c r="T919" t="str">
        <f>IF($E919="","",COUNTIF($E$2:$E919,$E919))</f>
        <v/>
      </c>
      <c r="U919" t="str">
        <f t="shared" si="14"/>
        <v/>
      </c>
    </row>
    <row r="920" spans="20:21" x14ac:dyDescent="0.25">
      <c r="T920" t="str">
        <f>IF($E920="","",COUNTIF($E$2:$E920,$E920))</f>
        <v/>
      </c>
      <c r="U920" t="str">
        <f t="shared" si="14"/>
        <v/>
      </c>
    </row>
    <row r="921" spans="20:21" x14ac:dyDescent="0.25">
      <c r="T921" t="str">
        <f>IF($E921="","",COUNTIF($E$2:$E921,$E921))</f>
        <v/>
      </c>
      <c r="U921" t="str">
        <f t="shared" si="14"/>
        <v/>
      </c>
    </row>
    <row r="922" spans="20:21" x14ac:dyDescent="0.25">
      <c r="T922" t="str">
        <f>IF($E922="","",COUNTIF($E$2:$E922,$E922))</f>
        <v/>
      </c>
      <c r="U922" t="str">
        <f t="shared" si="14"/>
        <v/>
      </c>
    </row>
    <row r="923" spans="20:21" x14ac:dyDescent="0.25">
      <c r="T923" t="str">
        <f>IF($E923="","",COUNTIF($E$2:$E923,$E923))</f>
        <v/>
      </c>
      <c r="U923" t="str">
        <f t="shared" si="14"/>
        <v/>
      </c>
    </row>
    <row r="924" spans="20:21" x14ac:dyDescent="0.25">
      <c r="T924" t="str">
        <f>IF($E924="","",COUNTIF($E$2:$E924,$E924))</f>
        <v/>
      </c>
      <c r="U924" t="str">
        <f t="shared" si="14"/>
        <v/>
      </c>
    </row>
    <row r="925" spans="20:21" x14ac:dyDescent="0.25">
      <c r="T925" t="str">
        <f>IF($E925="","",COUNTIF($E$2:$E925,$E925))</f>
        <v/>
      </c>
      <c r="U925" t="str">
        <f t="shared" si="14"/>
        <v/>
      </c>
    </row>
    <row r="926" spans="20:21" x14ac:dyDescent="0.25">
      <c r="T926" t="str">
        <f>IF($E926="","",COUNTIF($E$2:$E926,$E926))</f>
        <v/>
      </c>
      <c r="U926" t="str">
        <f t="shared" si="14"/>
        <v/>
      </c>
    </row>
    <row r="927" spans="20:21" x14ac:dyDescent="0.25">
      <c r="T927" t="str">
        <f>IF($E927="","",COUNTIF($E$2:$E927,$E927))</f>
        <v/>
      </c>
      <c r="U927" t="str">
        <f t="shared" si="14"/>
        <v/>
      </c>
    </row>
    <row r="928" spans="20:21" x14ac:dyDescent="0.25">
      <c r="T928" t="str">
        <f>IF($E928="","",COUNTIF($E$2:$E928,$E928))</f>
        <v/>
      </c>
      <c r="U928" t="str">
        <f t="shared" si="14"/>
        <v/>
      </c>
    </row>
    <row r="929" spans="20:21" x14ac:dyDescent="0.25">
      <c r="T929" t="str">
        <f>IF($E929="","",COUNTIF($E$2:$E929,$E929))</f>
        <v/>
      </c>
      <c r="U929" t="str">
        <f t="shared" si="14"/>
        <v/>
      </c>
    </row>
    <row r="930" spans="20:21" x14ac:dyDescent="0.25">
      <c r="T930" t="str">
        <f>IF($E930="","",COUNTIF($E$2:$E930,$E930))</f>
        <v/>
      </c>
      <c r="U930" t="str">
        <f t="shared" si="14"/>
        <v/>
      </c>
    </row>
    <row r="931" spans="20:21" x14ac:dyDescent="0.25">
      <c r="T931" t="str">
        <f>IF($E931="","",COUNTIF($E$2:$E931,$E931))</f>
        <v/>
      </c>
      <c r="U931" t="str">
        <f t="shared" si="14"/>
        <v/>
      </c>
    </row>
    <row r="932" spans="20:21" x14ac:dyDescent="0.25">
      <c r="T932" t="str">
        <f>IF($E932="","",COUNTIF($E$2:$E932,$E932))</f>
        <v/>
      </c>
      <c r="U932" t="str">
        <f t="shared" si="14"/>
        <v/>
      </c>
    </row>
    <row r="933" spans="20:21" x14ac:dyDescent="0.25">
      <c r="T933" t="str">
        <f>IF($E933="","",COUNTIF($E$2:$E933,$E933))</f>
        <v/>
      </c>
      <c r="U933" t="str">
        <f t="shared" si="14"/>
        <v/>
      </c>
    </row>
    <row r="934" spans="20:21" x14ac:dyDescent="0.25">
      <c r="T934" t="str">
        <f>IF($E934="","",COUNTIF($E$2:$E934,$E934))</f>
        <v/>
      </c>
      <c r="U934" t="str">
        <f t="shared" si="14"/>
        <v/>
      </c>
    </row>
    <row r="935" spans="20:21" x14ac:dyDescent="0.25">
      <c r="T935" t="str">
        <f>IF($E935="","",COUNTIF($E$2:$E935,$E935))</f>
        <v/>
      </c>
      <c r="U935" t="str">
        <f t="shared" si="14"/>
        <v/>
      </c>
    </row>
    <row r="936" spans="20:21" x14ac:dyDescent="0.25">
      <c r="T936" t="str">
        <f>IF($E936="","",COUNTIF($E$2:$E936,$E936))</f>
        <v/>
      </c>
      <c r="U936" t="str">
        <f t="shared" si="14"/>
        <v/>
      </c>
    </row>
    <row r="937" spans="20:21" x14ac:dyDescent="0.25">
      <c r="T937" t="str">
        <f>IF($E937="","",COUNTIF($E$2:$E937,$E937))</f>
        <v/>
      </c>
      <c r="U937" t="str">
        <f t="shared" si="14"/>
        <v/>
      </c>
    </row>
    <row r="938" spans="20:21" x14ac:dyDescent="0.25">
      <c r="T938" t="str">
        <f>IF($E938="","",COUNTIF($E$2:$E938,$E938))</f>
        <v/>
      </c>
      <c r="U938" t="str">
        <f t="shared" si="14"/>
        <v/>
      </c>
    </row>
    <row r="939" spans="20:21" x14ac:dyDescent="0.25">
      <c r="T939" t="str">
        <f>IF($E939="","",COUNTIF($E$2:$E939,$E939))</f>
        <v/>
      </c>
      <c r="U939" t="str">
        <f t="shared" si="14"/>
        <v/>
      </c>
    </row>
    <row r="940" spans="20:21" x14ac:dyDescent="0.25">
      <c r="T940" t="str">
        <f>IF($E940="","",COUNTIF($E$2:$E940,$E940))</f>
        <v/>
      </c>
      <c r="U940" t="str">
        <f t="shared" si="14"/>
        <v/>
      </c>
    </row>
    <row r="941" spans="20:21" x14ac:dyDescent="0.25">
      <c r="T941" t="str">
        <f>IF($E941="","",COUNTIF($E$2:$E941,$E941))</f>
        <v/>
      </c>
      <c r="U941" t="str">
        <f t="shared" si="14"/>
        <v/>
      </c>
    </row>
    <row r="942" spans="20:21" x14ac:dyDescent="0.25">
      <c r="T942" t="str">
        <f>IF($E942="","",COUNTIF($E$2:$E942,$E942))</f>
        <v/>
      </c>
      <c r="U942" t="str">
        <f t="shared" si="14"/>
        <v/>
      </c>
    </row>
    <row r="943" spans="20:21" x14ac:dyDescent="0.25">
      <c r="T943" t="str">
        <f>IF($E943="","",COUNTIF($E$2:$E943,$E943))</f>
        <v/>
      </c>
      <c r="U943" t="str">
        <f t="shared" si="14"/>
        <v/>
      </c>
    </row>
    <row r="944" spans="20:21" x14ac:dyDescent="0.25">
      <c r="T944" t="str">
        <f>IF($E944="","",COUNTIF($E$2:$E944,$E944))</f>
        <v/>
      </c>
      <c r="U944" t="str">
        <f t="shared" si="14"/>
        <v/>
      </c>
    </row>
    <row r="945" spans="20:21" x14ac:dyDescent="0.25">
      <c r="T945" t="str">
        <f>IF($E945="","",COUNTIF($E$2:$E945,$E945))</f>
        <v/>
      </c>
      <c r="U945" t="str">
        <f t="shared" si="14"/>
        <v/>
      </c>
    </row>
    <row r="946" spans="20:21" x14ac:dyDescent="0.25">
      <c r="T946" t="str">
        <f>IF($E946="","",COUNTIF($E$2:$E946,$E946))</f>
        <v/>
      </c>
      <c r="U946" t="str">
        <f t="shared" si="14"/>
        <v/>
      </c>
    </row>
    <row r="947" spans="20:21" x14ac:dyDescent="0.25">
      <c r="T947" t="str">
        <f>IF($E947="","",COUNTIF($E$2:$E947,$E947))</f>
        <v/>
      </c>
      <c r="U947" t="str">
        <f t="shared" si="14"/>
        <v/>
      </c>
    </row>
    <row r="948" spans="20:21" x14ac:dyDescent="0.25">
      <c r="T948" t="str">
        <f>IF($E948="","",COUNTIF($E$2:$E948,$E948))</f>
        <v/>
      </c>
      <c r="U948" t="str">
        <f t="shared" si="14"/>
        <v/>
      </c>
    </row>
    <row r="949" spans="20:21" x14ac:dyDescent="0.25">
      <c r="T949" t="str">
        <f>IF($E949="","",COUNTIF($E$2:$E949,$E949))</f>
        <v/>
      </c>
      <c r="U949" t="str">
        <f t="shared" si="14"/>
        <v/>
      </c>
    </row>
    <row r="950" spans="20:21" x14ac:dyDescent="0.25">
      <c r="T950" t="str">
        <f>IF($E950="","",COUNTIF($E$2:$E950,$E950))</f>
        <v/>
      </c>
      <c r="U950" t="str">
        <f t="shared" si="14"/>
        <v/>
      </c>
    </row>
    <row r="951" spans="20:21" x14ac:dyDescent="0.25">
      <c r="T951" t="str">
        <f>IF($E951="","",COUNTIF($E$2:$E951,$E951))</f>
        <v/>
      </c>
      <c r="U951" t="str">
        <f t="shared" si="14"/>
        <v/>
      </c>
    </row>
    <row r="952" spans="20:21" x14ac:dyDescent="0.25">
      <c r="T952" t="str">
        <f>IF($E952="","",COUNTIF($E$2:$E952,$E952))</f>
        <v/>
      </c>
      <c r="U952" t="str">
        <f t="shared" si="14"/>
        <v/>
      </c>
    </row>
    <row r="953" spans="20:21" x14ac:dyDescent="0.25">
      <c r="T953" t="str">
        <f>IF($E953="","",COUNTIF($E$2:$E953,$E953))</f>
        <v/>
      </c>
      <c r="U953" t="str">
        <f t="shared" si="14"/>
        <v/>
      </c>
    </row>
    <row r="954" spans="20:21" x14ac:dyDescent="0.25">
      <c r="T954" t="str">
        <f>IF($E954="","",COUNTIF($E$2:$E954,$E954))</f>
        <v/>
      </c>
      <c r="U954" t="str">
        <f t="shared" si="14"/>
        <v/>
      </c>
    </row>
    <row r="955" spans="20:21" x14ac:dyDescent="0.25">
      <c r="T955" t="str">
        <f>IF($E955="","",COUNTIF($E$2:$E955,$E955))</f>
        <v/>
      </c>
      <c r="U955" t="str">
        <f t="shared" si="14"/>
        <v/>
      </c>
    </row>
    <row r="956" spans="20:21" x14ac:dyDescent="0.25">
      <c r="T956" t="str">
        <f>IF($E956="","",COUNTIF($E$2:$E956,$E956))</f>
        <v/>
      </c>
      <c r="U956" t="str">
        <f t="shared" si="14"/>
        <v/>
      </c>
    </row>
    <row r="957" spans="20:21" x14ac:dyDescent="0.25">
      <c r="T957" t="str">
        <f>IF($E957="","",COUNTIF($E$2:$E957,$E957))</f>
        <v/>
      </c>
      <c r="U957" t="str">
        <f t="shared" si="14"/>
        <v/>
      </c>
    </row>
    <row r="958" spans="20:21" x14ac:dyDescent="0.25">
      <c r="T958" t="str">
        <f>IF($E958="","",COUNTIF($E$2:$E958,$E958))</f>
        <v/>
      </c>
      <c r="U958" t="str">
        <f t="shared" si="14"/>
        <v/>
      </c>
    </row>
    <row r="959" spans="20:21" x14ac:dyDescent="0.25">
      <c r="T959" t="str">
        <f>IF($E959="","",COUNTIF($E$2:$E959,$E959))</f>
        <v/>
      </c>
      <c r="U959" t="str">
        <f t="shared" si="14"/>
        <v/>
      </c>
    </row>
    <row r="960" spans="20:21" x14ac:dyDescent="0.25">
      <c r="T960" t="str">
        <f>IF($E960="","",COUNTIF($E$2:$E960,$E960))</f>
        <v/>
      </c>
      <c r="U960" t="str">
        <f t="shared" si="14"/>
        <v/>
      </c>
    </row>
    <row r="961" spans="20:21" x14ac:dyDescent="0.25">
      <c r="T961" t="str">
        <f>IF($E961="","",COUNTIF($E$2:$E961,$E961))</f>
        <v/>
      </c>
      <c r="U961" t="str">
        <f t="shared" si="14"/>
        <v/>
      </c>
    </row>
    <row r="962" spans="20:21" x14ac:dyDescent="0.25">
      <c r="T962" t="str">
        <f>IF($E962="","",COUNTIF($E$2:$E962,$E962))</f>
        <v/>
      </c>
      <c r="U962" t="str">
        <f t="shared" ref="U962:U1025" si="15">IF($E962="","",$E962&amp;"|"&amp;T962)</f>
        <v/>
      </c>
    </row>
    <row r="963" spans="20:21" x14ac:dyDescent="0.25">
      <c r="T963" t="str">
        <f>IF($E963="","",COUNTIF($E$2:$E963,$E963))</f>
        <v/>
      </c>
      <c r="U963" t="str">
        <f t="shared" si="15"/>
        <v/>
      </c>
    </row>
    <row r="964" spans="20:21" x14ac:dyDescent="0.25">
      <c r="T964" t="str">
        <f>IF($E964="","",COUNTIF($E$2:$E964,$E964))</f>
        <v/>
      </c>
      <c r="U964" t="str">
        <f t="shared" si="15"/>
        <v/>
      </c>
    </row>
    <row r="965" spans="20:21" x14ac:dyDescent="0.25">
      <c r="T965" t="str">
        <f>IF($E965="","",COUNTIF($E$2:$E965,$E965))</f>
        <v/>
      </c>
      <c r="U965" t="str">
        <f t="shared" si="15"/>
        <v/>
      </c>
    </row>
    <row r="966" spans="20:21" x14ac:dyDescent="0.25">
      <c r="T966" t="str">
        <f>IF($E966="","",COUNTIF($E$2:$E966,$E966))</f>
        <v/>
      </c>
      <c r="U966" t="str">
        <f t="shared" si="15"/>
        <v/>
      </c>
    </row>
    <row r="967" spans="20:21" x14ac:dyDescent="0.25">
      <c r="T967" t="str">
        <f>IF($E967="","",COUNTIF($E$2:$E967,$E967))</f>
        <v/>
      </c>
      <c r="U967" t="str">
        <f t="shared" si="15"/>
        <v/>
      </c>
    </row>
    <row r="968" spans="20:21" x14ac:dyDescent="0.25">
      <c r="T968" t="str">
        <f>IF($E968="","",COUNTIF($E$2:$E968,$E968))</f>
        <v/>
      </c>
      <c r="U968" t="str">
        <f t="shared" si="15"/>
        <v/>
      </c>
    </row>
    <row r="969" spans="20:21" x14ac:dyDescent="0.25">
      <c r="T969" t="str">
        <f>IF($E969="","",COUNTIF($E$2:$E969,$E969))</f>
        <v/>
      </c>
      <c r="U969" t="str">
        <f t="shared" si="15"/>
        <v/>
      </c>
    </row>
    <row r="970" spans="20:21" x14ac:dyDescent="0.25">
      <c r="T970" t="str">
        <f>IF($E970="","",COUNTIF($E$2:$E970,$E970))</f>
        <v/>
      </c>
      <c r="U970" t="str">
        <f t="shared" si="15"/>
        <v/>
      </c>
    </row>
    <row r="971" spans="20:21" x14ac:dyDescent="0.25">
      <c r="T971" t="str">
        <f>IF($E971="","",COUNTIF($E$2:$E971,$E971))</f>
        <v/>
      </c>
      <c r="U971" t="str">
        <f t="shared" si="15"/>
        <v/>
      </c>
    </row>
    <row r="972" spans="20:21" x14ac:dyDescent="0.25">
      <c r="T972" t="str">
        <f>IF($E972="","",COUNTIF($E$2:$E972,$E972))</f>
        <v/>
      </c>
      <c r="U972" t="str">
        <f t="shared" si="15"/>
        <v/>
      </c>
    </row>
    <row r="973" spans="20:21" x14ac:dyDescent="0.25">
      <c r="T973" t="str">
        <f>IF($E973="","",COUNTIF($E$2:$E973,$E973))</f>
        <v/>
      </c>
      <c r="U973" t="str">
        <f t="shared" si="15"/>
        <v/>
      </c>
    </row>
    <row r="974" spans="20:21" x14ac:dyDescent="0.25">
      <c r="T974" t="str">
        <f>IF($E974="","",COUNTIF($E$2:$E974,$E974))</f>
        <v/>
      </c>
      <c r="U974" t="str">
        <f t="shared" si="15"/>
        <v/>
      </c>
    </row>
    <row r="975" spans="20:21" x14ac:dyDescent="0.25">
      <c r="T975" t="str">
        <f>IF($E975="","",COUNTIF($E$2:$E975,$E975))</f>
        <v/>
      </c>
      <c r="U975" t="str">
        <f t="shared" si="15"/>
        <v/>
      </c>
    </row>
    <row r="976" spans="20:21" x14ac:dyDescent="0.25">
      <c r="T976" t="str">
        <f>IF($E976="","",COUNTIF($E$2:$E976,$E976))</f>
        <v/>
      </c>
      <c r="U976" t="str">
        <f t="shared" si="15"/>
        <v/>
      </c>
    </row>
    <row r="977" spans="20:21" x14ac:dyDescent="0.25">
      <c r="T977" t="str">
        <f>IF($E977="","",COUNTIF($E$2:$E977,$E977))</f>
        <v/>
      </c>
      <c r="U977" t="str">
        <f t="shared" si="15"/>
        <v/>
      </c>
    </row>
    <row r="978" spans="20:21" x14ac:dyDescent="0.25">
      <c r="T978" t="str">
        <f>IF($E978="","",COUNTIF($E$2:$E978,$E978))</f>
        <v/>
      </c>
      <c r="U978" t="str">
        <f t="shared" si="15"/>
        <v/>
      </c>
    </row>
    <row r="979" spans="20:21" x14ac:dyDescent="0.25">
      <c r="T979" t="str">
        <f>IF($E979="","",COUNTIF($E$2:$E979,$E979))</f>
        <v/>
      </c>
      <c r="U979" t="str">
        <f t="shared" si="15"/>
        <v/>
      </c>
    </row>
    <row r="980" spans="20:21" x14ac:dyDescent="0.25">
      <c r="T980" t="str">
        <f>IF($E980="","",COUNTIF($E$2:$E980,$E980))</f>
        <v/>
      </c>
      <c r="U980" t="str">
        <f t="shared" si="15"/>
        <v/>
      </c>
    </row>
    <row r="981" spans="20:21" x14ac:dyDescent="0.25">
      <c r="T981" t="str">
        <f>IF($E981="","",COUNTIF($E$2:$E981,$E981))</f>
        <v/>
      </c>
      <c r="U981" t="str">
        <f t="shared" si="15"/>
        <v/>
      </c>
    </row>
    <row r="982" spans="20:21" x14ac:dyDescent="0.25">
      <c r="T982" t="str">
        <f>IF($E982="","",COUNTIF($E$2:$E982,$E982))</f>
        <v/>
      </c>
      <c r="U982" t="str">
        <f t="shared" si="15"/>
        <v/>
      </c>
    </row>
    <row r="983" spans="20:21" x14ac:dyDescent="0.25">
      <c r="T983" t="str">
        <f>IF($E983="","",COUNTIF($E$2:$E983,$E983))</f>
        <v/>
      </c>
      <c r="U983" t="str">
        <f t="shared" si="15"/>
        <v/>
      </c>
    </row>
    <row r="984" spans="20:21" x14ac:dyDescent="0.25">
      <c r="T984" t="str">
        <f>IF($E984="","",COUNTIF($E$2:$E984,$E984))</f>
        <v/>
      </c>
      <c r="U984" t="str">
        <f t="shared" si="15"/>
        <v/>
      </c>
    </row>
    <row r="985" spans="20:21" x14ac:dyDescent="0.25">
      <c r="T985" t="str">
        <f>IF($E985="","",COUNTIF($E$2:$E985,$E985))</f>
        <v/>
      </c>
      <c r="U985" t="str">
        <f t="shared" si="15"/>
        <v/>
      </c>
    </row>
    <row r="986" spans="20:21" x14ac:dyDescent="0.25">
      <c r="T986" t="str">
        <f>IF($E986="","",COUNTIF($E$2:$E986,$E986))</f>
        <v/>
      </c>
      <c r="U986" t="str">
        <f t="shared" si="15"/>
        <v/>
      </c>
    </row>
    <row r="987" spans="20:21" x14ac:dyDescent="0.25">
      <c r="T987" t="str">
        <f>IF($E987="","",COUNTIF($E$2:$E987,$E987))</f>
        <v/>
      </c>
      <c r="U987" t="str">
        <f t="shared" si="15"/>
        <v/>
      </c>
    </row>
    <row r="988" spans="20:21" x14ac:dyDescent="0.25">
      <c r="T988" t="str">
        <f>IF($E988="","",COUNTIF($E$2:$E988,$E988))</f>
        <v/>
      </c>
      <c r="U988" t="str">
        <f t="shared" si="15"/>
        <v/>
      </c>
    </row>
    <row r="989" spans="20:21" x14ac:dyDescent="0.25">
      <c r="T989" t="str">
        <f>IF($E989="","",COUNTIF($E$2:$E989,$E989))</f>
        <v/>
      </c>
      <c r="U989" t="str">
        <f t="shared" si="15"/>
        <v/>
      </c>
    </row>
    <row r="990" spans="20:21" x14ac:dyDescent="0.25">
      <c r="T990" t="str">
        <f>IF($E990="","",COUNTIF($E$2:$E990,$E990))</f>
        <v/>
      </c>
      <c r="U990" t="str">
        <f t="shared" si="15"/>
        <v/>
      </c>
    </row>
    <row r="991" spans="20:21" x14ac:dyDescent="0.25">
      <c r="T991" t="str">
        <f>IF($E991="","",COUNTIF($E$2:$E991,$E991))</f>
        <v/>
      </c>
      <c r="U991" t="str">
        <f t="shared" si="15"/>
        <v/>
      </c>
    </row>
    <row r="992" spans="20:21" x14ac:dyDescent="0.25">
      <c r="T992" t="str">
        <f>IF($E992="","",COUNTIF($E$2:$E992,$E992))</f>
        <v/>
      </c>
      <c r="U992" t="str">
        <f t="shared" si="15"/>
        <v/>
      </c>
    </row>
    <row r="993" spans="20:21" x14ac:dyDescent="0.25">
      <c r="T993" t="str">
        <f>IF($E993="","",COUNTIF($E$2:$E993,$E993))</f>
        <v/>
      </c>
      <c r="U993" t="str">
        <f t="shared" si="15"/>
        <v/>
      </c>
    </row>
    <row r="994" spans="20:21" x14ac:dyDescent="0.25">
      <c r="T994" t="str">
        <f>IF($E994="","",COUNTIF($E$2:$E994,$E994))</f>
        <v/>
      </c>
      <c r="U994" t="str">
        <f t="shared" si="15"/>
        <v/>
      </c>
    </row>
    <row r="995" spans="20:21" x14ac:dyDescent="0.25">
      <c r="T995" t="str">
        <f>IF($E995="","",COUNTIF($E$2:$E995,$E995))</f>
        <v/>
      </c>
      <c r="U995" t="str">
        <f t="shared" si="15"/>
        <v/>
      </c>
    </row>
    <row r="996" spans="20:21" x14ac:dyDescent="0.25">
      <c r="T996" t="str">
        <f>IF($E996="","",COUNTIF($E$2:$E996,$E996))</f>
        <v/>
      </c>
      <c r="U996" t="str">
        <f t="shared" si="15"/>
        <v/>
      </c>
    </row>
    <row r="997" spans="20:21" x14ac:dyDescent="0.25">
      <c r="T997" t="str">
        <f>IF($E997="","",COUNTIF($E$2:$E997,$E997))</f>
        <v/>
      </c>
      <c r="U997" t="str">
        <f t="shared" si="15"/>
        <v/>
      </c>
    </row>
    <row r="998" spans="20:21" x14ac:dyDescent="0.25">
      <c r="T998" t="str">
        <f>IF($E998="","",COUNTIF($E$2:$E998,$E998))</f>
        <v/>
      </c>
      <c r="U998" t="str">
        <f t="shared" si="15"/>
        <v/>
      </c>
    </row>
    <row r="999" spans="20:21" x14ac:dyDescent="0.25">
      <c r="T999" t="str">
        <f>IF($E999="","",COUNTIF($E$2:$E999,$E999))</f>
        <v/>
      </c>
      <c r="U999" t="str">
        <f t="shared" si="15"/>
        <v/>
      </c>
    </row>
    <row r="1000" spans="20:21" x14ac:dyDescent="0.25">
      <c r="T1000" t="str">
        <f>IF($E1000="","",COUNTIF($E$2:$E1000,$E1000))</f>
        <v/>
      </c>
      <c r="U1000" t="str">
        <f t="shared" si="15"/>
        <v/>
      </c>
    </row>
    <row r="1001" spans="20:21" x14ac:dyDescent="0.25">
      <c r="T1001" t="str">
        <f>IF($E1001="","",COUNTIF($E$2:$E1001,$E1001))</f>
        <v/>
      </c>
      <c r="U1001" t="str">
        <f t="shared" si="15"/>
        <v/>
      </c>
    </row>
    <row r="1002" spans="20:21" x14ac:dyDescent="0.25">
      <c r="T1002" t="str">
        <f>IF($E1002="","",COUNTIF($E$2:$E1002,$E1002))</f>
        <v/>
      </c>
      <c r="U1002" t="str">
        <f t="shared" si="15"/>
        <v/>
      </c>
    </row>
    <row r="1003" spans="20:21" x14ac:dyDescent="0.25">
      <c r="T1003" t="str">
        <f>IF($E1003="","",COUNTIF($E$2:$E1003,$E1003))</f>
        <v/>
      </c>
      <c r="U1003" t="str">
        <f t="shared" si="15"/>
        <v/>
      </c>
    </row>
    <row r="1004" spans="20:21" x14ac:dyDescent="0.25">
      <c r="T1004" t="str">
        <f>IF($E1004="","",COUNTIF($E$2:$E1004,$E1004))</f>
        <v/>
      </c>
      <c r="U1004" t="str">
        <f t="shared" si="15"/>
        <v/>
      </c>
    </row>
    <row r="1005" spans="20:21" x14ac:dyDescent="0.25">
      <c r="T1005" t="str">
        <f>IF($E1005="","",COUNTIF($E$2:$E1005,$E1005))</f>
        <v/>
      </c>
      <c r="U1005" t="str">
        <f t="shared" si="15"/>
        <v/>
      </c>
    </row>
    <row r="1006" spans="20:21" x14ac:dyDescent="0.25">
      <c r="T1006" t="str">
        <f>IF($E1006="","",COUNTIF($E$2:$E1006,$E1006))</f>
        <v/>
      </c>
      <c r="U1006" t="str">
        <f t="shared" si="15"/>
        <v/>
      </c>
    </row>
    <row r="1007" spans="20:21" x14ac:dyDescent="0.25">
      <c r="T1007" t="str">
        <f>IF($E1007="","",COUNTIF($E$2:$E1007,$E1007))</f>
        <v/>
      </c>
      <c r="U1007" t="str">
        <f t="shared" si="15"/>
        <v/>
      </c>
    </row>
    <row r="1008" spans="20:21" x14ac:dyDescent="0.25">
      <c r="T1008" t="str">
        <f>IF($E1008="","",COUNTIF($E$2:$E1008,$E1008))</f>
        <v/>
      </c>
      <c r="U1008" t="str">
        <f t="shared" si="15"/>
        <v/>
      </c>
    </row>
    <row r="1009" spans="20:21" x14ac:dyDescent="0.25">
      <c r="T1009" t="str">
        <f>IF($E1009="","",COUNTIF($E$2:$E1009,$E1009))</f>
        <v/>
      </c>
      <c r="U1009" t="str">
        <f t="shared" si="15"/>
        <v/>
      </c>
    </row>
    <row r="1010" spans="20:21" x14ac:dyDescent="0.25">
      <c r="T1010" t="str">
        <f>IF($E1010="","",COUNTIF($E$2:$E1010,$E1010))</f>
        <v/>
      </c>
      <c r="U1010" t="str">
        <f t="shared" si="15"/>
        <v/>
      </c>
    </row>
    <row r="1011" spans="20:21" x14ac:dyDescent="0.25">
      <c r="T1011" t="str">
        <f>IF($E1011="","",COUNTIF($E$2:$E1011,$E1011))</f>
        <v/>
      </c>
      <c r="U1011" t="str">
        <f t="shared" si="15"/>
        <v/>
      </c>
    </row>
    <row r="1012" spans="20:21" x14ac:dyDescent="0.25">
      <c r="T1012" t="str">
        <f>IF($E1012="","",COUNTIF($E$2:$E1012,$E1012))</f>
        <v/>
      </c>
      <c r="U1012" t="str">
        <f t="shared" si="15"/>
        <v/>
      </c>
    </row>
    <row r="1013" spans="20:21" x14ac:dyDescent="0.25">
      <c r="T1013" t="str">
        <f>IF($E1013="","",COUNTIF($E$2:$E1013,$E1013))</f>
        <v/>
      </c>
      <c r="U1013" t="str">
        <f t="shared" si="15"/>
        <v/>
      </c>
    </row>
    <row r="1014" spans="20:21" x14ac:dyDescent="0.25">
      <c r="T1014" t="str">
        <f>IF($E1014="","",COUNTIF($E$2:$E1014,$E1014))</f>
        <v/>
      </c>
      <c r="U1014" t="str">
        <f t="shared" si="15"/>
        <v/>
      </c>
    </row>
    <row r="1015" spans="20:21" x14ac:dyDescent="0.25">
      <c r="T1015" t="str">
        <f>IF($E1015="","",COUNTIF($E$2:$E1015,$E1015))</f>
        <v/>
      </c>
      <c r="U1015" t="str">
        <f t="shared" si="15"/>
        <v/>
      </c>
    </row>
    <row r="1016" spans="20:21" x14ac:dyDescent="0.25">
      <c r="T1016" t="str">
        <f>IF($E1016="","",COUNTIF($E$2:$E1016,$E1016))</f>
        <v/>
      </c>
      <c r="U1016" t="str">
        <f t="shared" si="15"/>
        <v/>
      </c>
    </row>
    <row r="1017" spans="20:21" x14ac:dyDescent="0.25">
      <c r="T1017" t="str">
        <f>IF($E1017="","",COUNTIF($E$2:$E1017,$E1017))</f>
        <v/>
      </c>
      <c r="U1017" t="str">
        <f t="shared" si="15"/>
        <v/>
      </c>
    </row>
    <row r="1018" spans="20:21" x14ac:dyDescent="0.25">
      <c r="T1018" t="str">
        <f>IF($E1018="","",COUNTIF($E$2:$E1018,$E1018))</f>
        <v/>
      </c>
      <c r="U1018" t="str">
        <f t="shared" si="15"/>
        <v/>
      </c>
    </row>
    <row r="1019" spans="20:21" x14ac:dyDescent="0.25">
      <c r="T1019" t="str">
        <f>IF($E1019="","",COUNTIF($E$2:$E1019,$E1019))</f>
        <v/>
      </c>
      <c r="U1019" t="str">
        <f t="shared" si="15"/>
        <v/>
      </c>
    </row>
    <row r="1020" spans="20:21" x14ac:dyDescent="0.25">
      <c r="T1020" t="str">
        <f>IF($E1020="","",COUNTIF($E$2:$E1020,$E1020))</f>
        <v/>
      </c>
      <c r="U1020" t="str">
        <f t="shared" si="15"/>
        <v/>
      </c>
    </row>
    <row r="1021" spans="20:21" x14ac:dyDescent="0.25">
      <c r="T1021" t="str">
        <f>IF($E1021="","",COUNTIF($E$2:$E1021,$E1021))</f>
        <v/>
      </c>
      <c r="U1021" t="str">
        <f t="shared" si="15"/>
        <v/>
      </c>
    </row>
    <row r="1022" spans="20:21" x14ac:dyDescent="0.25">
      <c r="T1022" t="str">
        <f>IF($E1022="","",COUNTIF($E$2:$E1022,$E1022))</f>
        <v/>
      </c>
      <c r="U1022" t="str">
        <f t="shared" si="15"/>
        <v/>
      </c>
    </row>
    <row r="1023" spans="20:21" x14ac:dyDescent="0.25">
      <c r="T1023" t="str">
        <f>IF($E1023="","",COUNTIF($E$2:$E1023,$E1023))</f>
        <v/>
      </c>
      <c r="U1023" t="str">
        <f t="shared" si="15"/>
        <v/>
      </c>
    </row>
    <row r="1024" spans="20:21" x14ac:dyDescent="0.25">
      <c r="T1024" t="str">
        <f>IF($E1024="","",COUNTIF($E$2:$E1024,$E1024))</f>
        <v/>
      </c>
      <c r="U1024" t="str">
        <f t="shared" si="15"/>
        <v/>
      </c>
    </row>
    <row r="1025" spans="20:21" x14ac:dyDescent="0.25">
      <c r="T1025" t="str">
        <f>IF($E1025="","",COUNTIF($E$2:$E1025,$E1025))</f>
        <v/>
      </c>
      <c r="U1025" t="str">
        <f t="shared" si="15"/>
        <v/>
      </c>
    </row>
    <row r="1026" spans="20:21" x14ac:dyDescent="0.25">
      <c r="T1026" t="str">
        <f>IF($E1026="","",COUNTIF($E$2:$E1026,$E1026))</f>
        <v/>
      </c>
      <c r="U1026" t="str">
        <f t="shared" ref="U1026:U1089" si="16">IF($E1026="","",$E1026&amp;"|"&amp;T1026)</f>
        <v/>
      </c>
    </row>
    <row r="1027" spans="20:21" x14ac:dyDescent="0.25">
      <c r="T1027" t="str">
        <f>IF($E1027="","",COUNTIF($E$2:$E1027,$E1027))</f>
        <v/>
      </c>
      <c r="U1027" t="str">
        <f t="shared" si="16"/>
        <v/>
      </c>
    </row>
    <row r="1028" spans="20:21" x14ac:dyDescent="0.25">
      <c r="T1028" t="str">
        <f>IF($E1028="","",COUNTIF($E$2:$E1028,$E1028))</f>
        <v/>
      </c>
      <c r="U1028" t="str">
        <f t="shared" si="16"/>
        <v/>
      </c>
    </row>
    <row r="1029" spans="20:21" x14ac:dyDescent="0.25">
      <c r="T1029" t="str">
        <f>IF($E1029="","",COUNTIF($E$2:$E1029,$E1029))</f>
        <v/>
      </c>
      <c r="U1029" t="str">
        <f t="shared" si="16"/>
        <v/>
      </c>
    </row>
    <row r="1030" spans="20:21" x14ac:dyDescent="0.25">
      <c r="T1030" t="str">
        <f>IF($E1030="","",COUNTIF($E$2:$E1030,$E1030))</f>
        <v/>
      </c>
      <c r="U1030" t="str">
        <f t="shared" si="16"/>
        <v/>
      </c>
    </row>
    <row r="1031" spans="20:21" x14ac:dyDescent="0.25">
      <c r="T1031" t="str">
        <f>IF($E1031="","",COUNTIF($E$2:$E1031,$E1031))</f>
        <v/>
      </c>
      <c r="U1031" t="str">
        <f t="shared" si="16"/>
        <v/>
      </c>
    </row>
    <row r="1032" spans="20:21" x14ac:dyDescent="0.25">
      <c r="T1032" t="str">
        <f>IF($E1032="","",COUNTIF($E$2:$E1032,$E1032))</f>
        <v/>
      </c>
      <c r="U1032" t="str">
        <f t="shared" si="16"/>
        <v/>
      </c>
    </row>
    <row r="1033" spans="20:21" x14ac:dyDescent="0.25">
      <c r="T1033" t="str">
        <f>IF($E1033="","",COUNTIF($E$2:$E1033,$E1033))</f>
        <v/>
      </c>
      <c r="U1033" t="str">
        <f t="shared" si="16"/>
        <v/>
      </c>
    </row>
    <row r="1034" spans="20:21" x14ac:dyDescent="0.25">
      <c r="T1034" t="str">
        <f>IF($E1034="","",COUNTIF($E$2:$E1034,$E1034))</f>
        <v/>
      </c>
      <c r="U1034" t="str">
        <f t="shared" si="16"/>
        <v/>
      </c>
    </row>
    <row r="1035" spans="20:21" x14ac:dyDescent="0.25">
      <c r="T1035" t="str">
        <f>IF($E1035="","",COUNTIF($E$2:$E1035,$E1035))</f>
        <v/>
      </c>
      <c r="U1035" t="str">
        <f t="shared" si="16"/>
        <v/>
      </c>
    </row>
    <row r="1036" spans="20:21" x14ac:dyDescent="0.25">
      <c r="T1036" t="str">
        <f>IF($E1036="","",COUNTIF($E$2:$E1036,$E1036))</f>
        <v/>
      </c>
      <c r="U1036" t="str">
        <f t="shared" si="16"/>
        <v/>
      </c>
    </row>
    <row r="1037" spans="20:21" x14ac:dyDescent="0.25">
      <c r="T1037" t="str">
        <f>IF($E1037="","",COUNTIF($E$2:$E1037,$E1037))</f>
        <v/>
      </c>
      <c r="U1037" t="str">
        <f t="shared" si="16"/>
        <v/>
      </c>
    </row>
    <row r="1038" spans="20:21" x14ac:dyDescent="0.25">
      <c r="T1038" t="str">
        <f>IF($E1038="","",COUNTIF($E$2:$E1038,$E1038))</f>
        <v/>
      </c>
      <c r="U1038" t="str">
        <f t="shared" si="16"/>
        <v/>
      </c>
    </row>
    <row r="1039" spans="20:21" x14ac:dyDescent="0.25">
      <c r="T1039" t="str">
        <f>IF($E1039="","",COUNTIF($E$2:$E1039,$E1039))</f>
        <v/>
      </c>
      <c r="U1039" t="str">
        <f t="shared" si="16"/>
        <v/>
      </c>
    </row>
    <row r="1040" spans="20:21" x14ac:dyDescent="0.25">
      <c r="T1040" t="str">
        <f>IF($E1040="","",COUNTIF($E$2:$E1040,$E1040))</f>
        <v/>
      </c>
      <c r="U1040" t="str">
        <f t="shared" si="16"/>
        <v/>
      </c>
    </row>
    <row r="1041" spans="20:21" x14ac:dyDescent="0.25">
      <c r="T1041" t="str">
        <f>IF($E1041="","",COUNTIF($E$2:$E1041,$E1041))</f>
        <v/>
      </c>
      <c r="U1041" t="str">
        <f t="shared" si="16"/>
        <v/>
      </c>
    </row>
    <row r="1042" spans="20:21" x14ac:dyDescent="0.25">
      <c r="T1042" t="str">
        <f>IF($E1042="","",COUNTIF($E$2:$E1042,$E1042))</f>
        <v/>
      </c>
      <c r="U1042" t="str">
        <f t="shared" si="16"/>
        <v/>
      </c>
    </row>
    <row r="1043" spans="20:21" x14ac:dyDescent="0.25">
      <c r="T1043" t="str">
        <f>IF($E1043="","",COUNTIF($E$2:$E1043,$E1043))</f>
        <v/>
      </c>
      <c r="U1043" t="str">
        <f t="shared" si="16"/>
        <v/>
      </c>
    </row>
    <row r="1044" spans="20:21" x14ac:dyDescent="0.25">
      <c r="T1044" t="str">
        <f>IF($E1044="","",COUNTIF($E$2:$E1044,$E1044))</f>
        <v/>
      </c>
      <c r="U1044" t="str">
        <f t="shared" si="16"/>
        <v/>
      </c>
    </row>
    <row r="1045" spans="20:21" x14ac:dyDescent="0.25">
      <c r="T1045" t="str">
        <f>IF($E1045="","",COUNTIF($E$2:$E1045,$E1045))</f>
        <v/>
      </c>
      <c r="U1045" t="str">
        <f t="shared" si="16"/>
        <v/>
      </c>
    </row>
    <row r="1046" spans="20:21" x14ac:dyDescent="0.25">
      <c r="T1046" t="str">
        <f>IF($E1046="","",COUNTIF($E$2:$E1046,$E1046))</f>
        <v/>
      </c>
      <c r="U1046" t="str">
        <f t="shared" si="16"/>
        <v/>
      </c>
    </row>
    <row r="1047" spans="20:21" x14ac:dyDescent="0.25">
      <c r="T1047" t="str">
        <f>IF($E1047="","",COUNTIF($E$2:$E1047,$E1047))</f>
        <v/>
      </c>
      <c r="U1047" t="str">
        <f t="shared" si="16"/>
        <v/>
      </c>
    </row>
    <row r="1048" spans="20:21" x14ac:dyDescent="0.25">
      <c r="T1048" t="str">
        <f>IF($E1048="","",COUNTIF($E$2:$E1048,$E1048))</f>
        <v/>
      </c>
      <c r="U1048" t="str">
        <f t="shared" si="16"/>
        <v/>
      </c>
    </row>
    <row r="1049" spans="20:21" x14ac:dyDescent="0.25">
      <c r="T1049" t="str">
        <f>IF($E1049="","",COUNTIF($E$2:$E1049,$E1049))</f>
        <v/>
      </c>
      <c r="U1049" t="str">
        <f t="shared" si="16"/>
        <v/>
      </c>
    </row>
    <row r="1050" spans="20:21" x14ac:dyDescent="0.25">
      <c r="T1050" t="str">
        <f>IF($E1050="","",COUNTIF($E$2:$E1050,$E1050))</f>
        <v/>
      </c>
      <c r="U1050" t="str">
        <f t="shared" si="16"/>
        <v/>
      </c>
    </row>
    <row r="1051" spans="20:21" x14ac:dyDescent="0.25">
      <c r="T1051" t="str">
        <f>IF($E1051="","",COUNTIF($E$2:$E1051,$E1051))</f>
        <v/>
      </c>
      <c r="U1051" t="str">
        <f t="shared" si="16"/>
        <v/>
      </c>
    </row>
    <row r="1052" spans="20:21" x14ac:dyDescent="0.25">
      <c r="T1052" t="str">
        <f>IF($E1052="","",COUNTIF($E$2:$E1052,$E1052))</f>
        <v/>
      </c>
      <c r="U1052" t="str">
        <f t="shared" si="16"/>
        <v/>
      </c>
    </row>
    <row r="1053" spans="20:21" x14ac:dyDescent="0.25">
      <c r="T1053" t="str">
        <f>IF($E1053="","",COUNTIF($E$2:$E1053,$E1053))</f>
        <v/>
      </c>
      <c r="U1053" t="str">
        <f t="shared" si="16"/>
        <v/>
      </c>
    </row>
    <row r="1054" spans="20:21" x14ac:dyDescent="0.25">
      <c r="T1054" t="str">
        <f>IF($E1054="","",COUNTIF($E$2:$E1054,$E1054))</f>
        <v/>
      </c>
      <c r="U1054" t="str">
        <f t="shared" si="16"/>
        <v/>
      </c>
    </row>
    <row r="1055" spans="20:21" x14ac:dyDescent="0.25">
      <c r="T1055" t="str">
        <f>IF($E1055="","",COUNTIF($E$2:$E1055,$E1055))</f>
        <v/>
      </c>
      <c r="U1055" t="str">
        <f t="shared" si="16"/>
        <v/>
      </c>
    </row>
    <row r="1056" spans="20:21" x14ac:dyDescent="0.25">
      <c r="T1056" t="str">
        <f>IF($E1056="","",COUNTIF($E$2:$E1056,$E1056))</f>
        <v/>
      </c>
      <c r="U1056" t="str">
        <f t="shared" si="16"/>
        <v/>
      </c>
    </row>
    <row r="1057" spans="20:21" x14ac:dyDescent="0.25">
      <c r="T1057" t="str">
        <f>IF($E1057="","",COUNTIF($E$2:$E1057,$E1057))</f>
        <v/>
      </c>
      <c r="U1057" t="str">
        <f t="shared" si="16"/>
        <v/>
      </c>
    </row>
    <row r="1058" spans="20:21" x14ac:dyDescent="0.25">
      <c r="T1058" t="str">
        <f>IF($E1058="","",COUNTIF($E$2:$E1058,$E1058))</f>
        <v/>
      </c>
      <c r="U1058" t="str">
        <f t="shared" si="16"/>
        <v/>
      </c>
    </row>
    <row r="1059" spans="20:21" x14ac:dyDescent="0.25">
      <c r="T1059" t="str">
        <f>IF($E1059="","",COUNTIF($E$2:$E1059,$E1059))</f>
        <v/>
      </c>
      <c r="U1059" t="str">
        <f t="shared" si="16"/>
        <v/>
      </c>
    </row>
    <row r="1060" spans="20:21" x14ac:dyDescent="0.25">
      <c r="T1060" t="str">
        <f>IF($E1060="","",COUNTIF($E$2:$E1060,$E1060))</f>
        <v/>
      </c>
      <c r="U1060" t="str">
        <f t="shared" si="16"/>
        <v/>
      </c>
    </row>
    <row r="1061" spans="20:21" x14ac:dyDescent="0.25">
      <c r="T1061" t="str">
        <f>IF($E1061="","",COUNTIF($E$2:$E1061,$E1061))</f>
        <v/>
      </c>
      <c r="U1061" t="str">
        <f t="shared" si="16"/>
        <v/>
      </c>
    </row>
    <row r="1062" spans="20:21" x14ac:dyDescent="0.25">
      <c r="T1062" t="str">
        <f>IF($E1062="","",COUNTIF($E$2:$E1062,$E1062))</f>
        <v/>
      </c>
      <c r="U1062" t="str">
        <f t="shared" si="16"/>
        <v/>
      </c>
    </row>
    <row r="1063" spans="20:21" x14ac:dyDescent="0.25">
      <c r="T1063" t="str">
        <f>IF($E1063="","",COUNTIF($E$2:$E1063,$E1063))</f>
        <v/>
      </c>
      <c r="U1063" t="str">
        <f t="shared" si="16"/>
        <v/>
      </c>
    </row>
    <row r="1064" spans="20:21" x14ac:dyDescent="0.25">
      <c r="T1064" t="str">
        <f>IF($E1064="","",COUNTIF($E$2:$E1064,$E1064))</f>
        <v/>
      </c>
      <c r="U1064" t="str">
        <f t="shared" si="16"/>
        <v/>
      </c>
    </row>
    <row r="1065" spans="20:21" x14ac:dyDescent="0.25">
      <c r="T1065" t="str">
        <f>IF($E1065="","",COUNTIF($E$2:$E1065,$E1065))</f>
        <v/>
      </c>
      <c r="U1065" t="str">
        <f t="shared" si="16"/>
        <v/>
      </c>
    </row>
    <row r="1066" spans="20:21" x14ac:dyDescent="0.25">
      <c r="T1066" t="str">
        <f>IF($E1066="","",COUNTIF($E$2:$E1066,$E1066))</f>
        <v/>
      </c>
      <c r="U1066" t="str">
        <f t="shared" si="16"/>
        <v/>
      </c>
    </row>
    <row r="1067" spans="20:21" x14ac:dyDescent="0.25">
      <c r="T1067" t="str">
        <f>IF($E1067="","",COUNTIF($E$2:$E1067,$E1067))</f>
        <v/>
      </c>
      <c r="U1067" t="str">
        <f t="shared" si="16"/>
        <v/>
      </c>
    </row>
    <row r="1068" spans="20:21" x14ac:dyDescent="0.25">
      <c r="T1068" t="str">
        <f>IF($E1068="","",COUNTIF($E$2:$E1068,$E1068))</f>
        <v/>
      </c>
      <c r="U1068" t="str">
        <f t="shared" si="16"/>
        <v/>
      </c>
    </row>
    <row r="1069" spans="20:21" x14ac:dyDescent="0.25">
      <c r="T1069" t="str">
        <f>IF($E1069="","",COUNTIF($E$2:$E1069,$E1069))</f>
        <v/>
      </c>
      <c r="U1069" t="str">
        <f t="shared" si="16"/>
        <v/>
      </c>
    </row>
    <row r="1070" spans="20:21" x14ac:dyDescent="0.25">
      <c r="T1070" t="str">
        <f>IF($E1070="","",COUNTIF($E$2:$E1070,$E1070))</f>
        <v/>
      </c>
      <c r="U1070" t="str">
        <f t="shared" si="16"/>
        <v/>
      </c>
    </row>
    <row r="1071" spans="20:21" x14ac:dyDescent="0.25">
      <c r="T1071" t="str">
        <f>IF($E1071="","",COUNTIF($E$2:$E1071,$E1071))</f>
        <v/>
      </c>
      <c r="U1071" t="str">
        <f t="shared" si="16"/>
        <v/>
      </c>
    </row>
    <row r="1072" spans="20:21" x14ac:dyDescent="0.25">
      <c r="T1072" t="str">
        <f>IF($E1072="","",COUNTIF($E$2:$E1072,$E1072))</f>
        <v/>
      </c>
      <c r="U1072" t="str">
        <f t="shared" si="16"/>
        <v/>
      </c>
    </row>
    <row r="1073" spans="20:21" x14ac:dyDescent="0.25">
      <c r="T1073" t="str">
        <f>IF($E1073="","",COUNTIF($E$2:$E1073,$E1073))</f>
        <v/>
      </c>
      <c r="U1073" t="str">
        <f t="shared" si="16"/>
        <v/>
      </c>
    </row>
    <row r="1074" spans="20:21" x14ac:dyDescent="0.25">
      <c r="T1074" t="str">
        <f>IF($E1074="","",COUNTIF($E$2:$E1074,$E1074))</f>
        <v/>
      </c>
      <c r="U1074" t="str">
        <f t="shared" si="16"/>
        <v/>
      </c>
    </row>
    <row r="1075" spans="20:21" x14ac:dyDescent="0.25">
      <c r="T1075" t="str">
        <f>IF($E1075="","",COUNTIF($E$2:$E1075,$E1075))</f>
        <v/>
      </c>
      <c r="U1075" t="str">
        <f t="shared" si="16"/>
        <v/>
      </c>
    </row>
    <row r="1076" spans="20:21" x14ac:dyDescent="0.25">
      <c r="T1076" t="str">
        <f>IF($E1076="","",COUNTIF($E$2:$E1076,$E1076))</f>
        <v/>
      </c>
      <c r="U1076" t="str">
        <f t="shared" si="16"/>
        <v/>
      </c>
    </row>
    <row r="1077" spans="20:21" x14ac:dyDescent="0.25">
      <c r="T1077" t="str">
        <f>IF($E1077="","",COUNTIF($E$2:$E1077,$E1077))</f>
        <v/>
      </c>
      <c r="U1077" t="str">
        <f t="shared" si="16"/>
        <v/>
      </c>
    </row>
    <row r="1078" spans="20:21" x14ac:dyDescent="0.25">
      <c r="T1078" t="str">
        <f>IF($E1078="","",COUNTIF($E$2:$E1078,$E1078))</f>
        <v/>
      </c>
      <c r="U1078" t="str">
        <f t="shared" si="16"/>
        <v/>
      </c>
    </row>
    <row r="1079" spans="20:21" x14ac:dyDescent="0.25">
      <c r="T1079" t="str">
        <f>IF($E1079="","",COUNTIF($E$2:$E1079,$E1079))</f>
        <v/>
      </c>
      <c r="U1079" t="str">
        <f t="shared" si="16"/>
        <v/>
      </c>
    </row>
    <row r="1080" spans="20:21" x14ac:dyDescent="0.25">
      <c r="T1080" t="str">
        <f>IF($E1080="","",COUNTIF($E$2:$E1080,$E1080))</f>
        <v/>
      </c>
      <c r="U1080" t="str">
        <f t="shared" si="16"/>
        <v/>
      </c>
    </row>
    <row r="1081" spans="20:21" x14ac:dyDescent="0.25">
      <c r="T1081" t="str">
        <f>IF($E1081="","",COUNTIF($E$2:$E1081,$E1081))</f>
        <v/>
      </c>
      <c r="U1081" t="str">
        <f t="shared" si="16"/>
        <v/>
      </c>
    </row>
    <row r="1082" spans="20:21" x14ac:dyDescent="0.25">
      <c r="T1082" t="str">
        <f>IF($E1082="","",COUNTIF($E$2:$E1082,$E1082))</f>
        <v/>
      </c>
      <c r="U1082" t="str">
        <f t="shared" si="16"/>
        <v/>
      </c>
    </row>
    <row r="1083" spans="20:21" x14ac:dyDescent="0.25">
      <c r="T1083" t="str">
        <f>IF($E1083="","",COUNTIF($E$2:$E1083,$E1083))</f>
        <v/>
      </c>
      <c r="U1083" t="str">
        <f t="shared" si="16"/>
        <v/>
      </c>
    </row>
    <row r="1084" spans="20:21" x14ac:dyDescent="0.25">
      <c r="T1084" t="str">
        <f>IF($E1084="","",COUNTIF($E$2:$E1084,$E1084))</f>
        <v/>
      </c>
      <c r="U1084" t="str">
        <f t="shared" si="16"/>
        <v/>
      </c>
    </row>
    <row r="1085" spans="20:21" x14ac:dyDescent="0.25">
      <c r="T1085" t="str">
        <f>IF($E1085="","",COUNTIF($E$2:$E1085,$E1085))</f>
        <v/>
      </c>
      <c r="U1085" t="str">
        <f t="shared" si="16"/>
        <v/>
      </c>
    </row>
    <row r="1086" spans="20:21" x14ac:dyDescent="0.25">
      <c r="T1086" t="str">
        <f>IF($E1086="","",COUNTIF($E$2:$E1086,$E1086))</f>
        <v/>
      </c>
      <c r="U1086" t="str">
        <f t="shared" si="16"/>
        <v/>
      </c>
    </row>
    <row r="1087" spans="20:21" x14ac:dyDescent="0.25">
      <c r="T1087" t="str">
        <f>IF($E1087="","",COUNTIF($E$2:$E1087,$E1087))</f>
        <v/>
      </c>
      <c r="U1087" t="str">
        <f t="shared" si="16"/>
        <v/>
      </c>
    </row>
    <row r="1088" spans="20:21" x14ac:dyDescent="0.25">
      <c r="T1088" t="str">
        <f>IF($E1088="","",COUNTIF($E$2:$E1088,$E1088))</f>
        <v/>
      </c>
      <c r="U1088" t="str">
        <f t="shared" si="16"/>
        <v/>
      </c>
    </row>
    <row r="1089" spans="20:21" x14ac:dyDescent="0.25">
      <c r="T1089" t="str">
        <f>IF($E1089="","",COUNTIF($E$2:$E1089,$E1089))</f>
        <v/>
      </c>
      <c r="U1089" t="str">
        <f t="shared" si="16"/>
        <v/>
      </c>
    </row>
    <row r="1090" spans="20:21" x14ac:dyDescent="0.25">
      <c r="T1090" t="str">
        <f>IF($E1090="","",COUNTIF($E$2:$E1090,$E1090))</f>
        <v/>
      </c>
      <c r="U1090" t="str">
        <f t="shared" ref="U1090:U1153" si="17">IF($E1090="","",$E1090&amp;"|"&amp;T1090)</f>
        <v/>
      </c>
    </row>
    <row r="1091" spans="20:21" x14ac:dyDescent="0.25">
      <c r="T1091" t="str">
        <f>IF($E1091="","",COUNTIF($E$2:$E1091,$E1091))</f>
        <v/>
      </c>
      <c r="U1091" t="str">
        <f t="shared" si="17"/>
        <v/>
      </c>
    </row>
    <row r="1092" spans="20:21" x14ac:dyDescent="0.25">
      <c r="T1092" t="str">
        <f>IF($E1092="","",COUNTIF($E$2:$E1092,$E1092))</f>
        <v/>
      </c>
      <c r="U1092" t="str">
        <f t="shared" si="17"/>
        <v/>
      </c>
    </row>
    <row r="1093" spans="20:21" x14ac:dyDescent="0.25">
      <c r="T1093" t="str">
        <f>IF($E1093="","",COUNTIF($E$2:$E1093,$E1093))</f>
        <v/>
      </c>
      <c r="U1093" t="str">
        <f t="shared" si="17"/>
        <v/>
      </c>
    </row>
    <row r="1094" spans="20:21" x14ac:dyDescent="0.25">
      <c r="T1094" t="str">
        <f>IF($E1094="","",COUNTIF($E$2:$E1094,$E1094))</f>
        <v/>
      </c>
      <c r="U1094" t="str">
        <f t="shared" si="17"/>
        <v/>
      </c>
    </row>
    <row r="1095" spans="20:21" x14ac:dyDescent="0.25">
      <c r="T1095" t="str">
        <f>IF($E1095="","",COUNTIF($E$2:$E1095,$E1095))</f>
        <v/>
      </c>
      <c r="U1095" t="str">
        <f t="shared" si="17"/>
        <v/>
      </c>
    </row>
    <row r="1096" spans="20:21" x14ac:dyDescent="0.25">
      <c r="T1096" t="str">
        <f>IF($E1096="","",COUNTIF($E$2:$E1096,$E1096))</f>
        <v/>
      </c>
      <c r="U1096" t="str">
        <f t="shared" si="17"/>
        <v/>
      </c>
    </row>
    <row r="1097" spans="20:21" x14ac:dyDescent="0.25">
      <c r="T1097" t="str">
        <f>IF($E1097="","",COUNTIF($E$2:$E1097,$E1097))</f>
        <v/>
      </c>
      <c r="U1097" t="str">
        <f t="shared" si="17"/>
        <v/>
      </c>
    </row>
    <row r="1098" spans="20:21" x14ac:dyDescent="0.25">
      <c r="T1098" t="str">
        <f>IF($E1098="","",COUNTIF($E$2:$E1098,$E1098))</f>
        <v/>
      </c>
      <c r="U1098" t="str">
        <f t="shared" si="17"/>
        <v/>
      </c>
    </row>
    <row r="1099" spans="20:21" x14ac:dyDescent="0.25">
      <c r="T1099" t="str">
        <f>IF($E1099="","",COUNTIF($E$2:$E1099,$E1099))</f>
        <v/>
      </c>
      <c r="U1099" t="str">
        <f t="shared" si="17"/>
        <v/>
      </c>
    </row>
    <row r="1100" spans="20:21" x14ac:dyDescent="0.25">
      <c r="T1100" t="str">
        <f>IF($E1100="","",COUNTIF($E$2:$E1100,$E1100))</f>
        <v/>
      </c>
      <c r="U1100" t="str">
        <f t="shared" si="17"/>
        <v/>
      </c>
    </row>
    <row r="1101" spans="20:21" x14ac:dyDescent="0.25">
      <c r="T1101" t="str">
        <f>IF($E1101="","",COUNTIF($E$2:$E1101,$E1101))</f>
        <v/>
      </c>
      <c r="U1101" t="str">
        <f t="shared" si="17"/>
        <v/>
      </c>
    </row>
    <row r="1102" spans="20:21" x14ac:dyDescent="0.25">
      <c r="T1102" t="str">
        <f>IF($E1102="","",COUNTIF($E$2:$E1102,$E1102))</f>
        <v/>
      </c>
      <c r="U1102" t="str">
        <f t="shared" si="17"/>
        <v/>
      </c>
    </row>
    <row r="1103" spans="20:21" x14ac:dyDescent="0.25">
      <c r="T1103" t="str">
        <f>IF($E1103="","",COUNTIF($E$2:$E1103,$E1103))</f>
        <v/>
      </c>
      <c r="U1103" t="str">
        <f t="shared" si="17"/>
        <v/>
      </c>
    </row>
    <row r="1104" spans="20:21" x14ac:dyDescent="0.25">
      <c r="T1104" t="str">
        <f>IF($E1104="","",COUNTIF($E$2:$E1104,$E1104))</f>
        <v/>
      </c>
      <c r="U1104" t="str">
        <f t="shared" si="17"/>
        <v/>
      </c>
    </row>
    <row r="1105" spans="20:21" x14ac:dyDescent="0.25">
      <c r="T1105" t="str">
        <f>IF($E1105="","",COUNTIF($E$2:$E1105,$E1105))</f>
        <v/>
      </c>
      <c r="U1105" t="str">
        <f t="shared" si="17"/>
        <v/>
      </c>
    </row>
    <row r="1106" spans="20:21" x14ac:dyDescent="0.25">
      <c r="T1106" t="str">
        <f>IF($E1106="","",COUNTIF($E$2:$E1106,$E1106))</f>
        <v/>
      </c>
      <c r="U1106" t="str">
        <f t="shared" si="17"/>
        <v/>
      </c>
    </row>
    <row r="1107" spans="20:21" x14ac:dyDescent="0.25">
      <c r="T1107" t="str">
        <f>IF($E1107="","",COUNTIF($E$2:$E1107,$E1107))</f>
        <v/>
      </c>
      <c r="U1107" t="str">
        <f t="shared" si="17"/>
        <v/>
      </c>
    </row>
    <row r="1108" spans="20:21" x14ac:dyDescent="0.25">
      <c r="T1108" t="str">
        <f>IF($E1108="","",COUNTIF($E$2:$E1108,$E1108))</f>
        <v/>
      </c>
      <c r="U1108" t="str">
        <f t="shared" si="17"/>
        <v/>
      </c>
    </row>
    <row r="1109" spans="20:21" x14ac:dyDescent="0.25">
      <c r="T1109" t="str">
        <f>IF($E1109="","",COUNTIF($E$2:$E1109,$E1109))</f>
        <v/>
      </c>
      <c r="U1109" t="str">
        <f t="shared" si="17"/>
        <v/>
      </c>
    </row>
    <row r="1110" spans="20:21" x14ac:dyDescent="0.25">
      <c r="T1110" t="str">
        <f>IF($E1110="","",COUNTIF($E$2:$E1110,$E1110))</f>
        <v/>
      </c>
      <c r="U1110" t="str">
        <f t="shared" si="17"/>
        <v/>
      </c>
    </row>
    <row r="1111" spans="20:21" x14ac:dyDescent="0.25">
      <c r="T1111" t="str">
        <f>IF($E1111="","",COUNTIF($E$2:$E1111,$E1111))</f>
        <v/>
      </c>
      <c r="U1111" t="str">
        <f t="shared" si="17"/>
        <v/>
      </c>
    </row>
    <row r="1112" spans="20:21" x14ac:dyDescent="0.25">
      <c r="T1112" t="str">
        <f>IF($E1112="","",COUNTIF($E$2:$E1112,$E1112))</f>
        <v/>
      </c>
      <c r="U1112" t="str">
        <f t="shared" si="17"/>
        <v/>
      </c>
    </row>
    <row r="1113" spans="20:21" x14ac:dyDescent="0.25">
      <c r="T1113" t="str">
        <f>IF($E1113="","",COUNTIF($E$2:$E1113,$E1113))</f>
        <v/>
      </c>
      <c r="U1113" t="str">
        <f t="shared" si="17"/>
        <v/>
      </c>
    </row>
    <row r="1114" spans="20:21" x14ac:dyDescent="0.25">
      <c r="T1114" t="str">
        <f>IF($E1114="","",COUNTIF($E$2:$E1114,$E1114))</f>
        <v/>
      </c>
      <c r="U1114" t="str">
        <f t="shared" si="17"/>
        <v/>
      </c>
    </row>
    <row r="1115" spans="20:21" x14ac:dyDescent="0.25">
      <c r="T1115" t="str">
        <f>IF($E1115="","",COUNTIF($E$2:$E1115,$E1115))</f>
        <v/>
      </c>
      <c r="U1115" t="str">
        <f t="shared" si="17"/>
        <v/>
      </c>
    </row>
    <row r="1116" spans="20:21" x14ac:dyDescent="0.25">
      <c r="T1116" t="str">
        <f>IF($E1116="","",COUNTIF($E$2:$E1116,$E1116))</f>
        <v/>
      </c>
      <c r="U1116" t="str">
        <f t="shared" si="17"/>
        <v/>
      </c>
    </row>
    <row r="1117" spans="20:21" x14ac:dyDescent="0.25">
      <c r="T1117" t="str">
        <f>IF($E1117="","",COUNTIF($E$2:$E1117,$E1117))</f>
        <v/>
      </c>
      <c r="U1117" t="str">
        <f t="shared" si="17"/>
        <v/>
      </c>
    </row>
    <row r="1118" spans="20:21" x14ac:dyDescent="0.25">
      <c r="T1118" t="str">
        <f>IF($E1118="","",COUNTIF($E$2:$E1118,$E1118))</f>
        <v/>
      </c>
      <c r="U1118" t="str">
        <f t="shared" si="17"/>
        <v/>
      </c>
    </row>
    <row r="1119" spans="20:21" x14ac:dyDescent="0.25">
      <c r="T1119" t="str">
        <f>IF($E1119="","",COUNTIF($E$2:$E1119,$E1119))</f>
        <v/>
      </c>
      <c r="U1119" t="str">
        <f t="shared" si="17"/>
        <v/>
      </c>
    </row>
    <row r="1120" spans="20:21" x14ac:dyDescent="0.25">
      <c r="T1120" t="str">
        <f>IF($E1120="","",COUNTIF($E$2:$E1120,$E1120))</f>
        <v/>
      </c>
      <c r="U1120" t="str">
        <f t="shared" si="17"/>
        <v/>
      </c>
    </row>
    <row r="1121" spans="20:21" x14ac:dyDescent="0.25">
      <c r="T1121" t="str">
        <f>IF($E1121="","",COUNTIF($E$2:$E1121,$E1121))</f>
        <v/>
      </c>
      <c r="U1121" t="str">
        <f t="shared" si="17"/>
        <v/>
      </c>
    </row>
    <row r="1122" spans="20:21" x14ac:dyDescent="0.25">
      <c r="T1122" t="str">
        <f>IF($E1122="","",COUNTIF($E$2:$E1122,$E1122))</f>
        <v/>
      </c>
      <c r="U1122" t="str">
        <f t="shared" si="17"/>
        <v/>
      </c>
    </row>
    <row r="1123" spans="20:21" x14ac:dyDescent="0.25">
      <c r="T1123" t="str">
        <f>IF($E1123="","",COUNTIF($E$2:$E1123,$E1123))</f>
        <v/>
      </c>
      <c r="U1123" t="str">
        <f t="shared" si="17"/>
        <v/>
      </c>
    </row>
    <row r="1124" spans="20:21" x14ac:dyDescent="0.25">
      <c r="T1124" t="str">
        <f>IF($E1124="","",COUNTIF($E$2:$E1124,$E1124))</f>
        <v/>
      </c>
      <c r="U1124" t="str">
        <f t="shared" si="17"/>
        <v/>
      </c>
    </row>
    <row r="1125" spans="20:21" x14ac:dyDescent="0.25">
      <c r="T1125" t="str">
        <f>IF($E1125="","",COUNTIF($E$2:$E1125,$E1125))</f>
        <v/>
      </c>
      <c r="U1125" t="str">
        <f t="shared" si="17"/>
        <v/>
      </c>
    </row>
    <row r="1126" spans="20:21" x14ac:dyDescent="0.25">
      <c r="T1126" t="str">
        <f>IF($E1126="","",COUNTIF($E$2:$E1126,$E1126))</f>
        <v/>
      </c>
      <c r="U1126" t="str">
        <f t="shared" si="17"/>
        <v/>
      </c>
    </row>
    <row r="1127" spans="20:21" x14ac:dyDescent="0.25">
      <c r="T1127" t="str">
        <f>IF($E1127="","",COUNTIF($E$2:$E1127,$E1127))</f>
        <v/>
      </c>
      <c r="U1127" t="str">
        <f t="shared" si="17"/>
        <v/>
      </c>
    </row>
    <row r="1128" spans="20:21" x14ac:dyDescent="0.25">
      <c r="T1128" t="str">
        <f>IF($E1128="","",COUNTIF($E$2:$E1128,$E1128))</f>
        <v/>
      </c>
      <c r="U1128" t="str">
        <f t="shared" si="17"/>
        <v/>
      </c>
    </row>
    <row r="1129" spans="20:21" x14ac:dyDescent="0.25">
      <c r="T1129" t="str">
        <f>IF($E1129="","",COUNTIF($E$2:$E1129,$E1129))</f>
        <v/>
      </c>
      <c r="U1129" t="str">
        <f t="shared" si="17"/>
        <v/>
      </c>
    </row>
    <row r="1130" spans="20:21" x14ac:dyDescent="0.25">
      <c r="T1130" t="str">
        <f>IF($E1130="","",COUNTIF($E$2:$E1130,$E1130))</f>
        <v/>
      </c>
      <c r="U1130" t="str">
        <f t="shared" si="17"/>
        <v/>
      </c>
    </row>
    <row r="1131" spans="20:21" x14ac:dyDescent="0.25">
      <c r="T1131" t="str">
        <f>IF($E1131="","",COUNTIF($E$2:$E1131,$E1131))</f>
        <v/>
      </c>
      <c r="U1131" t="str">
        <f t="shared" si="17"/>
        <v/>
      </c>
    </row>
    <row r="1132" spans="20:21" x14ac:dyDescent="0.25">
      <c r="T1132" t="str">
        <f>IF($E1132="","",COUNTIF($E$2:$E1132,$E1132))</f>
        <v/>
      </c>
      <c r="U1132" t="str">
        <f t="shared" si="17"/>
        <v/>
      </c>
    </row>
    <row r="1133" spans="20:21" x14ac:dyDescent="0.25">
      <c r="T1133" t="str">
        <f>IF($E1133="","",COUNTIF($E$2:$E1133,$E1133))</f>
        <v/>
      </c>
      <c r="U1133" t="str">
        <f t="shared" si="17"/>
        <v/>
      </c>
    </row>
    <row r="1134" spans="20:21" x14ac:dyDescent="0.25">
      <c r="T1134" t="str">
        <f>IF($E1134="","",COUNTIF($E$2:$E1134,$E1134))</f>
        <v/>
      </c>
      <c r="U1134" t="str">
        <f t="shared" si="17"/>
        <v/>
      </c>
    </row>
    <row r="1135" spans="20:21" x14ac:dyDescent="0.25">
      <c r="T1135" t="str">
        <f>IF($E1135="","",COUNTIF($E$2:$E1135,$E1135))</f>
        <v/>
      </c>
      <c r="U1135" t="str">
        <f t="shared" si="17"/>
        <v/>
      </c>
    </row>
    <row r="1136" spans="20:21" x14ac:dyDescent="0.25">
      <c r="T1136" t="str">
        <f>IF($E1136="","",COUNTIF($E$2:$E1136,$E1136))</f>
        <v/>
      </c>
      <c r="U1136" t="str">
        <f t="shared" si="17"/>
        <v/>
      </c>
    </row>
    <row r="1137" spans="20:21" x14ac:dyDescent="0.25">
      <c r="T1137" t="str">
        <f>IF($E1137="","",COUNTIF($E$2:$E1137,$E1137))</f>
        <v/>
      </c>
      <c r="U1137" t="str">
        <f t="shared" si="17"/>
        <v/>
      </c>
    </row>
    <row r="1138" spans="20:21" x14ac:dyDescent="0.25">
      <c r="T1138" t="str">
        <f>IF($E1138="","",COUNTIF($E$2:$E1138,$E1138))</f>
        <v/>
      </c>
      <c r="U1138" t="str">
        <f t="shared" si="17"/>
        <v/>
      </c>
    </row>
    <row r="1139" spans="20:21" x14ac:dyDescent="0.25">
      <c r="T1139" t="str">
        <f>IF($E1139="","",COUNTIF($E$2:$E1139,$E1139))</f>
        <v/>
      </c>
      <c r="U1139" t="str">
        <f t="shared" si="17"/>
        <v/>
      </c>
    </row>
    <row r="1140" spans="20:21" x14ac:dyDescent="0.25">
      <c r="T1140" t="str">
        <f>IF($E1140="","",COUNTIF($E$2:$E1140,$E1140))</f>
        <v/>
      </c>
      <c r="U1140" t="str">
        <f t="shared" si="17"/>
        <v/>
      </c>
    </row>
    <row r="1141" spans="20:21" x14ac:dyDescent="0.25">
      <c r="T1141" t="str">
        <f>IF($E1141="","",COUNTIF($E$2:$E1141,$E1141))</f>
        <v/>
      </c>
      <c r="U1141" t="str">
        <f t="shared" si="17"/>
        <v/>
      </c>
    </row>
    <row r="1142" spans="20:21" x14ac:dyDescent="0.25">
      <c r="T1142" t="str">
        <f>IF($E1142="","",COUNTIF($E$2:$E1142,$E1142))</f>
        <v/>
      </c>
      <c r="U1142" t="str">
        <f t="shared" si="17"/>
        <v/>
      </c>
    </row>
    <row r="1143" spans="20:21" x14ac:dyDescent="0.25">
      <c r="T1143" t="str">
        <f>IF($E1143="","",COUNTIF($E$2:$E1143,$E1143))</f>
        <v/>
      </c>
      <c r="U1143" t="str">
        <f t="shared" si="17"/>
        <v/>
      </c>
    </row>
    <row r="1144" spans="20:21" x14ac:dyDescent="0.25">
      <c r="T1144" t="str">
        <f>IF($E1144="","",COUNTIF($E$2:$E1144,$E1144))</f>
        <v/>
      </c>
      <c r="U1144" t="str">
        <f t="shared" si="17"/>
        <v/>
      </c>
    </row>
    <row r="1145" spans="20:21" x14ac:dyDescent="0.25">
      <c r="T1145" t="str">
        <f>IF($E1145="","",COUNTIF($E$2:$E1145,$E1145))</f>
        <v/>
      </c>
      <c r="U1145" t="str">
        <f t="shared" si="17"/>
        <v/>
      </c>
    </row>
    <row r="1146" spans="20:21" x14ac:dyDescent="0.25">
      <c r="T1146" t="str">
        <f>IF($E1146="","",COUNTIF($E$2:$E1146,$E1146))</f>
        <v/>
      </c>
      <c r="U1146" t="str">
        <f t="shared" si="17"/>
        <v/>
      </c>
    </row>
    <row r="1147" spans="20:21" x14ac:dyDescent="0.25">
      <c r="T1147" t="str">
        <f>IF($E1147="","",COUNTIF($E$2:$E1147,$E1147))</f>
        <v/>
      </c>
      <c r="U1147" t="str">
        <f t="shared" si="17"/>
        <v/>
      </c>
    </row>
    <row r="1148" spans="20:21" x14ac:dyDescent="0.25">
      <c r="T1148" t="str">
        <f>IF($E1148="","",COUNTIF($E$2:$E1148,$E1148))</f>
        <v/>
      </c>
      <c r="U1148" t="str">
        <f t="shared" si="17"/>
        <v/>
      </c>
    </row>
    <row r="1149" spans="20:21" x14ac:dyDescent="0.25">
      <c r="T1149" t="str">
        <f>IF($E1149="","",COUNTIF($E$2:$E1149,$E1149))</f>
        <v/>
      </c>
      <c r="U1149" t="str">
        <f t="shared" si="17"/>
        <v/>
      </c>
    </row>
    <row r="1150" spans="20:21" x14ac:dyDescent="0.25">
      <c r="T1150" t="str">
        <f>IF($E1150="","",COUNTIF($E$2:$E1150,$E1150))</f>
        <v/>
      </c>
      <c r="U1150" t="str">
        <f t="shared" si="17"/>
        <v/>
      </c>
    </row>
    <row r="1151" spans="20:21" x14ac:dyDescent="0.25">
      <c r="T1151" t="str">
        <f>IF($E1151="","",COUNTIF($E$2:$E1151,$E1151))</f>
        <v/>
      </c>
      <c r="U1151" t="str">
        <f t="shared" si="17"/>
        <v/>
      </c>
    </row>
    <row r="1152" spans="20:21" x14ac:dyDescent="0.25">
      <c r="T1152" t="str">
        <f>IF($E1152="","",COUNTIF($E$2:$E1152,$E1152))</f>
        <v/>
      </c>
      <c r="U1152" t="str">
        <f t="shared" si="17"/>
        <v/>
      </c>
    </row>
    <row r="1153" spans="20:21" x14ac:dyDescent="0.25">
      <c r="T1153" t="str">
        <f>IF($E1153="","",COUNTIF($E$2:$E1153,$E1153))</f>
        <v/>
      </c>
      <c r="U1153" t="str">
        <f t="shared" si="17"/>
        <v/>
      </c>
    </row>
    <row r="1154" spans="20:21" x14ac:dyDescent="0.25">
      <c r="T1154" t="str">
        <f>IF($E1154="","",COUNTIF($E$2:$E1154,$E1154))</f>
        <v/>
      </c>
      <c r="U1154" t="str">
        <f t="shared" ref="U1154:U1217" si="18">IF($E1154="","",$E1154&amp;"|"&amp;T1154)</f>
        <v/>
      </c>
    </row>
    <row r="1155" spans="20:21" x14ac:dyDescent="0.25">
      <c r="T1155" t="str">
        <f>IF($E1155="","",COUNTIF($E$2:$E1155,$E1155))</f>
        <v/>
      </c>
      <c r="U1155" t="str">
        <f t="shared" si="18"/>
        <v/>
      </c>
    </row>
    <row r="1156" spans="20:21" x14ac:dyDescent="0.25">
      <c r="T1156" t="str">
        <f>IF($E1156="","",COUNTIF($E$2:$E1156,$E1156))</f>
        <v/>
      </c>
      <c r="U1156" t="str">
        <f t="shared" si="18"/>
        <v/>
      </c>
    </row>
    <row r="1157" spans="20:21" x14ac:dyDescent="0.25">
      <c r="T1157" t="str">
        <f>IF($E1157="","",COUNTIF($E$2:$E1157,$E1157))</f>
        <v/>
      </c>
      <c r="U1157" t="str">
        <f t="shared" si="18"/>
        <v/>
      </c>
    </row>
    <row r="1158" spans="20:21" x14ac:dyDescent="0.25">
      <c r="T1158" t="str">
        <f>IF($E1158="","",COUNTIF($E$2:$E1158,$E1158))</f>
        <v/>
      </c>
      <c r="U1158" t="str">
        <f t="shared" si="18"/>
        <v/>
      </c>
    </row>
    <row r="1159" spans="20:21" x14ac:dyDescent="0.25">
      <c r="T1159" t="str">
        <f>IF($E1159="","",COUNTIF($E$2:$E1159,$E1159))</f>
        <v/>
      </c>
      <c r="U1159" t="str">
        <f t="shared" si="18"/>
        <v/>
      </c>
    </row>
    <row r="1160" spans="20:21" x14ac:dyDescent="0.25">
      <c r="T1160" t="str">
        <f>IF($E1160="","",COUNTIF($E$2:$E1160,$E1160))</f>
        <v/>
      </c>
      <c r="U1160" t="str">
        <f t="shared" si="18"/>
        <v/>
      </c>
    </row>
    <row r="1161" spans="20:21" x14ac:dyDescent="0.25">
      <c r="T1161" t="str">
        <f>IF($E1161="","",COUNTIF($E$2:$E1161,$E1161))</f>
        <v/>
      </c>
      <c r="U1161" t="str">
        <f t="shared" si="18"/>
        <v/>
      </c>
    </row>
    <row r="1162" spans="20:21" x14ac:dyDescent="0.25">
      <c r="T1162" t="str">
        <f>IF($E1162="","",COUNTIF($E$2:$E1162,$E1162))</f>
        <v/>
      </c>
      <c r="U1162" t="str">
        <f t="shared" si="18"/>
        <v/>
      </c>
    </row>
    <row r="1163" spans="20:21" x14ac:dyDescent="0.25">
      <c r="T1163" t="str">
        <f>IF($E1163="","",COUNTIF($E$2:$E1163,$E1163))</f>
        <v/>
      </c>
      <c r="U1163" t="str">
        <f t="shared" si="18"/>
        <v/>
      </c>
    </row>
    <row r="1164" spans="20:21" x14ac:dyDescent="0.25">
      <c r="T1164" t="str">
        <f>IF($E1164="","",COUNTIF($E$2:$E1164,$E1164))</f>
        <v/>
      </c>
      <c r="U1164" t="str">
        <f t="shared" si="18"/>
        <v/>
      </c>
    </row>
    <row r="1165" spans="20:21" x14ac:dyDescent="0.25">
      <c r="T1165" t="str">
        <f>IF($E1165="","",COUNTIF($E$2:$E1165,$E1165))</f>
        <v/>
      </c>
      <c r="U1165" t="str">
        <f t="shared" si="18"/>
        <v/>
      </c>
    </row>
    <row r="1166" spans="20:21" x14ac:dyDescent="0.25">
      <c r="T1166" t="str">
        <f>IF($E1166="","",COUNTIF($E$2:$E1166,$E1166))</f>
        <v/>
      </c>
      <c r="U1166" t="str">
        <f t="shared" si="18"/>
        <v/>
      </c>
    </row>
    <row r="1167" spans="20:21" x14ac:dyDescent="0.25">
      <c r="T1167" t="str">
        <f>IF($E1167="","",COUNTIF($E$2:$E1167,$E1167))</f>
        <v/>
      </c>
      <c r="U1167" t="str">
        <f t="shared" si="18"/>
        <v/>
      </c>
    </row>
    <row r="1168" spans="20:21" x14ac:dyDescent="0.25">
      <c r="T1168" t="str">
        <f>IF($E1168="","",COUNTIF($E$2:$E1168,$E1168))</f>
        <v/>
      </c>
      <c r="U1168" t="str">
        <f t="shared" si="18"/>
        <v/>
      </c>
    </row>
    <row r="1169" spans="20:21" x14ac:dyDescent="0.25">
      <c r="T1169" t="str">
        <f>IF($E1169="","",COUNTIF($E$2:$E1169,$E1169))</f>
        <v/>
      </c>
      <c r="U1169" t="str">
        <f t="shared" si="18"/>
        <v/>
      </c>
    </row>
    <row r="1170" spans="20:21" x14ac:dyDescent="0.25">
      <c r="T1170" t="str">
        <f>IF($E1170="","",COUNTIF($E$2:$E1170,$E1170))</f>
        <v/>
      </c>
      <c r="U1170" t="str">
        <f t="shared" si="18"/>
        <v/>
      </c>
    </row>
    <row r="1171" spans="20:21" x14ac:dyDescent="0.25">
      <c r="T1171" t="str">
        <f>IF($E1171="","",COUNTIF($E$2:$E1171,$E1171))</f>
        <v/>
      </c>
      <c r="U1171" t="str">
        <f t="shared" si="18"/>
        <v/>
      </c>
    </row>
    <row r="1172" spans="20:21" x14ac:dyDescent="0.25">
      <c r="T1172" t="str">
        <f>IF($E1172="","",COUNTIF($E$2:$E1172,$E1172))</f>
        <v/>
      </c>
      <c r="U1172" t="str">
        <f t="shared" si="18"/>
        <v/>
      </c>
    </row>
    <row r="1173" spans="20:21" x14ac:dyDescent="0.25">
      <c r="T1173" t="str">
        <f>IF($E1173="","",COUNTIF($E$2:$E1173,$E1173))</f>
        <v/>
      </c>
      <c r="U1173" t="str">
        <f t="shared" si="18"/>
        <v/>
      </c>
    </row>
    <row r="1174" spans="20:21" x14ac:dyDescent="0.25">
      <c r="T1174" t="str">
        <f>IF($E1174="","",COUNTIF($E$2:$E1174,$E1174))</f>
        <v/>
      </c>
      <c r="U1174" t="str">
        <f t="shared" si="18"/>
        <v/>
      </c>
    </row>
    <row r="1175" spans="20:21" x14ac:dyDescent="0.25">
      <c r="T1175" t="str">
        <f>IF($E1175="","",COUNTIF($E$2:$E1175,$E1175))</f>
        <v/>
      </c>
      <c r="U1175" t="str">
        <f t="shared" si="18"/>
        <v/>
      </c>
    </row>
    <row r="1176" spans="20:21" x14ac:dyDescent="0.25">
      <c r="T1176" t="str">
        <f>IF($E1176="","",COUNTIF($E$2:$E1176,$E1176))</f>
        <v/>
      </c>
      <c r="U1176" t="str">
        <f t="shared" si="18"/>
        <v/>
      </c>
    </row>
    <row r="1177" spans="20:21" x14ac:dyDescent="0.25">
      <c r="T1177" t="str">
        <f>IF($E1177="","",COUNTIF($E$2:$E1177,$E1177))</f>
        <v/>
      </c>
      <c r="U1177" t="str">
        <f t="shared" si="18"/>
        <v/>
      </c>
    </row>
    <row r="1178" spans="20:21" x14ac:dyDescent="0.25">
      <c r="T1178" t="str">
        <f>IF($E1178="","",COUNTIF($E$2:$E1178,$E1178))</f>
        <v/>
      </c>
      <c r="U1178" t="str">
        <f t="shared" si="18"/>
        <v/>
      </c>
    </row>
    <row r="1179" spans="20:21" x14ac:dyDescent="0.25">
      <c r="T1179" t="str">
        <f>IF($E1179="","",COUNTIF($E$2:$E1179,$E1179))</f>
        <v/>
      </c>
      <c r="U1179" t="str">
        <f t="shared" si="18"/>
        <v/>
      </c>
    </row>
    <row r="1180" spans="20:21" x14ac:dyDescent="0.25">
      <c r="T1180" t="str">
        <f>IF($E1180="","",COUNTIF($E$2:$E1180,$E1180))</f>
        <v/>
      </c>
      <c r="U1180" t="str">
        <f t="shared" si="18"/>
        <v/>
      </c>
    </row>
    <row r="1181" spans="20:21" x14ac:dyDescent="0.25">
      <c r="T1181" t="str">
        <f>IF($E1181="","",COUNTIF($E$2:$E1181,$E1181))</f>
        <v/>
      </c>
      <c r="U1181" t="str">
        <f t="shared" si="18"/>
        <v/>
      </c>
    </row>
    <row r="1182" spans="20:21" x14ac:dyDescent="0.25">
      <c r="T1182" t="str">
        <f>IF($E1182="","",COUNTIF($E$2:$E1182,$E1182))</f>
        <v/>
      </c>
      <c r="U1182" t="str">
        <f t="shared" si="18"/>
        <v/>
      </c>
    </row>
    <row r="1183" spans="20:21" x14ac:dyDescent="0.25">
      <c r="T1183" t="str">
        <f>IF($E1183="","",COUNTIF($E$2:$E1183,$E1183))</f>
        <v/>
      </c>
      <c r="U1183" t="str">
        <f t="shared" si="18"/>
        <v/>
      </c>
    </row>
    <row r="1184" spans="20:21" x14ac:dyDescent="0.25">
      <c r="T1184" t="str">
        <f>IF($E1184="","",COUNTIF($E$2:$E1184,$E1184))</f>
        <v/>
      </c>
      <c r="U1184" t="str">
        <f t="shared" si="18"/>
        <v/>
      </c>
    </row>
    <row r="1185" spans="20:21" x14ac:dyDescent="0.25">
      <c r="T1185" t="str">
        <f>IF($E1185="","",COUNTIF($E$2:$E1185,$E1185))</f>
        <v/>
      </c>
      <c r="U1185" t="str">
        <f t="shared" si="18"/>
        <v/>
      </c>
    </row>
    <row r="1186" spans="20:21" x14ac:dyDescent="0.25">
      <c r="T1186" t="str">
        <f>IF($E1186="","",COUNTIF($E$2:$E1186,$E1186))</f>
        <v/>
      </c>
      <c r="U1186" t="str">
        <f t="shared" si="18"/>
        <v/>
      </c>
    </row>
    <row r="1187" spans="20:21" x14ac:dyDescent="0.25">
      <c r="T1187" t="str">
        <f>IF($E1187="","",COUNTIF($E$2:$E1187,$E1187))</f>
        <v/>
      </c>
      <c r="U1187" t="str">
        <f t="shared" si="18"/>
        <v/>
      </c>
    </row>
    <row r="1188" spans="20:21" x14ac:dyDescent="0.25">
      <c r="T1188" t="str">
        <f>IF($E1188="","",COUNTIF($E$2:$E1188,$E1188))</f>
        <v/>
      </c>
      <c r="U1188" t="str">
        <f t="shared" si="18"/>
        <v/>
      </c>
    </row>
    <row r="1189" spans="20:21" x14ac:dyDescent="0.25">
      <c r="T1189" t="str">
        <f>IF($E1189="","",COUNTIF($E$2:$E1189,$E1189))</f>
        <v/>
      </c>
      <c r="U1189" t="str">
        <f t="shared" si="18"/>
        <v/>
      </c>
    </row>
    <row r="1190" spans="20:21" x14ac:dyDescent="0.25">
      <c r="T1190" t="str">
        <f>IF($E1190="","",COUNTIF($E$2:$E1190,$E1190))</f>
        <v/>
      </c>
      <c r="U1190" t="str">
        <f t="shared" si="18"/>
        <v/>
      </c>
    </row>
    <row r="1191" spans="20:21" x14ac:dyDescent="0.25">
      <c r="T1191" t="str">
        <f>IF($E1191="","",COUNTIF($E$2:$E1191,$E1191))</f>
        <v/>
      </c>
      <c r="U1191" t="str">
        <f t="shared" si="18"/>
        <v/>
      </c>
    </row>
    <row r="1192" spans="20:21" x14ac:dyDescent="0.25">
      <c r="T1192" t="str">
        <f>IF($E1192="","",COUNTIF($E$2:$E1192,$E1192))</f>
        <v/>
      </c>
      <c r="U1192" t="str">
        <f t="shared" si="18"/>
        <v/>
      </c>
    </row>
    <row r="1193" spans="20:21" x14ac:dyDescent="0.25">
      <c r="T1193" t="str">
        <f>IF($E1193="","",COUNTIF($E$2:$E1193,$E1193))</f>
        <v/>
      </c>
      <c r="U1193" t="str">
        <f t="shared" si="18"/>
        <v/>
      </c>
    </row>
    <row r="1194" spans="20:21" x14ac:dyDescent="0.25">
      <c r="T1194" t="str">
        <f>IF($E1194="","",COUNTIF($E$2:$E1194,$E1194))</f>
        <v/>
      </c>
      <c r="U1194" t="str">
        <f t="shared" si="18"/>
        <v/>
      </c>
    </row>
    <row r="1195" spans="20:21" x14ac:dyDescent="0.25">
      <c r="T1195" t="str">
        <f>IF($E1195="","",COUNTIF($E$2:$E1195,$E1195))</f>
        <v/>
      </c>
      <c r="U1195" t="str">
        <f t="shared" si="18"/>
        <v/>
      </c>
    </row>
    <row r="1196" spans="20:21" x14ac:dyDescent="0.25">
      <c r="T1196" t="str">
        <f>IF($E1196="","",COUNTIF($E$2:$E1196,$E1196))</f>
        <v/>
      </c>
      <c r="U1196" t="str">
        <f t="shared" si="18"/>
        <v/>
      </c>
    </row>
    <row r="1197" spans="20:21" x14ac:dyDescent="0.25">
      <c r="T1197" t="str">
        <f>IF($E1197="","",COUNTIF($E$2:$E1197,$E1197))</f>
        <v/>
      </c>
      <c r="U1197" t="str">
        <f t="shared" si="18"/>
        <v/>
      </c>
    </row>
    <row r="1198" spans="20:21" x14ac:dyDescent="0.25">
      <c r="T1198" t="str">
        <f>IF($E1198="","",COUNTIF($E$2:$E1198,$E1198))</f>
        <v/>
      </c>
      <c r="U1198" t="str">
        <f t="shared" si="18"/>
        <v/>
      </c>
    </row>
    <row r="1199" spans="20:21" x14ac:dyDescent="0.25">
      <c r="T1199" t="str">
        <f>IF($E1199="","",COUNTIF($E$2:$E1199,$E1199))</f>
        <v/>
      </c>
      <c r="U1199" t="str">
        <f t="shared" si="18"/>
        <v/>
      </c>
    </row>
    <row r="1200" spans="20:21" x14ac:dyDescent="0.25">
      <c r="T1200" t="str">
        <f>IF($E1200="","",COUNTIF($E$2:$E1200,$E1200))</f>
        <v/>
      </c>
      <c r="U1200" t="str">
        <f t="shared" si="18"/>
        <v/>
      </c>
    </row>
    <row r="1201" spans="20:21" x14ac:dyDescent="0.25">
      <c r="T1201" t="str">
        <f>IF($E1201="","",COUNTIF($E$2:$E1201,$E1201))</f>
        <v/>
      </c>
      <c r="U1201" t="str">
        <f t="shared" si="18"/>
        <v/>
      </c>
    </row>
    <row r="1202" spans="20:21" x14ac:dyDescent="0.25">
      <c r="T1202" t="str">
        <f>IF($E1202="","",COUNTIF($E$2:$E1202,$E1202))</f>
        <v/>
      </c>
      <c r="U1202" t="str">
        <f t="shared" si="18"/>
        <v/>
      </c>
    </row>
    <row r="1203" spans="20:21" x14ac:dyDescent="0.25">
      <c r="T1203" t="str">
        <f>IF($E1203="","",COUNTIF($E$2:$E1203,$E1203))</f>
        <v/>
      </c>
      <c r="U1203" t="str">
        <f t="shared" si="18"/>
        <v/>
      </c>
    </row>
    <row r="1204" spans="20:21" x14ac:dyDescent="0.25">
      <c r="T1204" t="str">
        <f>IF($E1204="","",COUNTIF($E$2:$E1204,$E1204))</f>
        <v/>
      </c>
      <c r="U1204" t="str">
        <f t="shared" si="18"/>
        <v/>
      </c>
    </row>
    <row r="1205" spans="20:21" x14ac:dyDescent="0.25">
      <c r="T1205" t="str">
        <f>IF($E1205="","",COUNTIF($E$2:$E1205,$E1205))</f>
        <v/>
      </c>
      <c r="U1205" t="str">
        <f t="shared" si="18"/>
        <v/>
      </c>
    </row>
    <row r="1206" spans="20:21" x14ac:dyDescent="0.25">
      <c r="T1206" t="str">
        <f>IF($E1206="","",COUNTIF($E$2:$E1206,$E1206))</f>
        <v/>
      </c>
      <c r="U1206" t="str">
        <f t="shared" si="18"/>
        <v/>
      </c>
    </row>
    <row r="1207" spans="20:21" x14ac:dyDescent="0.25">
      <c r="T1207" t="str">
        <f>IF($E1207="","",COUNTIF($E$2:$E1207,$E1207))</f>
        <v/>
      </c>
      <c r="U1207" t="str">
        <f t="shared" si="18"/>
        <v/>
      </c>
    </row>
    <row r="1208" spans="20:21" x14ac:dyDescent="0.25">
      <c r="T1208" t="str">
        <f>IF($E1208="","",COUNTIF($E$2:$E1208,$E1208))</f>
        <v/>
      </c>
      <c r="U1208" t="str">
        <f t="shared" si="18"/>
        <v/>
      </c>
    </row>
    <row r="1209" spans="20:21" x14ac:dyDescent="0.25">
      <c r="T1209" t="str">
        <f>IF($E1209="","",COUNTIF($E$2:$E1209,$E1209))</f>
        <v/>
      </c>
      <c r="U1209" t="str">
        <f t="shared" si="18"/>
        <v/>
      </c>
    </row>
    <row r="1210" spans="20:21" x14ac:dyDescent="0.25">
      <c r="T1210" t="str">
        <f>IF($E1210="","",COUNTIF($E$2:$E1210,$E1210))</f>
        <v/>
      </c>
      <c r="U1210" t="str">
        <f t="shared" si="18"/>
        <v/>
      </c>
    </row>
    <row r="1211" spans="20:21" x14ac:dyDescent="0.25">
      <c r="T1211" t="str">
        <f>IF($E1211="","",COUNTIF($E$2:$E1211,$E1211))</f>
        <v/>
      </c>
      <c r="U1211" t="str">
        <f t="shared" si="18"/>
        <v/>
      </c>
    </row>
    <row r="1212" spans="20:21" x14ac:dyDescent="0.25">
      <c r="T1212" t="str">
        <f>IF($E1212="","",COUNTIF($E$2:$E1212,$E1212))</f>
        <v/>
      </c>
      <c r="U1212" t="str">
        <f t="shared" si="18"/>
        <v/>
      </c>
    </row>
    <row r="1213" spans="20:21" x14ac:dyDescent="0.25">
      <c r="T1213" t="str">
        <f>IF($E1213="","",COUNTIF($E$2:$E1213,$E1213))</f>
        <v/>
      </c>
      <c r="U1213" t="str">
        <f t="shared" si="18"/>
        <v/>
      </c>
    </row>
    <row r="1214" spans="20:21" x14ac:dyDescent="0.25">
      <c r="T1214" t="str">
        <f>IF($E1214="","",COUNTIF($E$2:$E1214,$E1214))</f>
        <v/>
      </c>
      <c r="U1214" t="str">
        <f t="shared" si="18"/>
        <v/>
      </c>
    </row>
    <row r="1215" spans="20:21" x14ac:dyDescent="0.25">
      <c r="T1215" t="str">
        <f>IF($E1215="","",COUNTIF($E$2:$E1215,$E1215))</f>
        <v/>
      </c>
      <c r="U1215" t="str">
        <f t="shared" si="18"/>
        <v/>
      </c>
    </row>
    <row r="1216" spans="20:21" x14ac:dyDescent="0.25">
      <c r="T1216" t="str">
        <f>IF($E1216="","",COUNTIF($E$2:$E1216,$E1216))</f>
        <v/>
      </c>
      <c r="U1216" t="str">
        <f t="shared" si="18"/>
        <v/>
      </c>
    </row>
    <row r="1217" spans="20:21" x14ac:dyDescent="0.25">
      <c r="T1217" t="str">
        <f>IF($E1217="","",COUNTIF($E$2:$E1217,$E1217))</f>
        <v/>
      </c>
      <c r="U1217" t="str">
        <f t="shared" si="18"/>
        <v/>
      </c>
    </row>
    <row r="1218" spans="20:21" x14ac:dyDescent="0.25">
      <c r="T1218" t="str">
        <f>IF($E1218="","",COUNTIF($E$2:$E1218,$E1218))</f>
        <v/>
      </c>
      <c r="U1218" t="str">
        <f t="shared" ref="U1218" si="19">IF($E1218="","",$E1218&amp;"|"&amp;T1218)</f>
        <v/>
      </c>
    </row>
  </sheetData>
  <autoFilter ref="A1:R218" xr:uid="{00000000-0009-0000-0000-000002000000}"/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E59EDD"/>
  </sheetPr>
  <dimension ref="B2:J21"/>
  <sheetViews>
    <sheetView zoomScaleNormal="100" workbookViewId="0">
      <selection activeCell="F11" sqref="F11"/>
    </sheetView>
  </sheetViews>
  <sheetFormatPr baseColWidth="10" defaultColWidth="10.5703125" defaultRowHeight="15" x14ac:dyDescent="0.25"/>
  <cols>
    <col min="2" max="2" width="15.28515625" customWidth="1"/>
    <col min="4" max="4" width="13" customWidth="1"/>
  </cols>
  <sheetData>
    <row r="2" spans="2:10" x14ac:dyDescent="0.25">
      <c r="B2" t="s">
        <v>280</v>
      </c>
      <c r="D2" t="s">
        <v>281</v>
      </c>
      <c r="F2" t="s">
        <v>282</v>
      </c>
      <c r="H2" t="s">
        <v>283</v>
      </c>
      <c r="I2" s="67"/>
      <c r="J2" t="s">
        <v>284</v>
      </c>
    </row>
    <row r="3" spans="2:10" x14ac:dyDescent="0.25">
      <c r="B3" s="68" t="s">
        <v>7</v>
      </c>
      <c r="D3" s="68" t="s">
        <v>58</v>
      </c>
      <c r="F3" s="68" t="s">
        <v>40</v>
      </c>
      <c r="H3" s="68" t="s">
        <v>45</v>
      </c>
      <c r="I3" s="1"/>
      <c r="J3" s="69">
        <v>0.22916666666666699</v>
      </c>
    </row>
    <row r="4" spans="2:10" x14ac:dyDescent="0.25">
      <c r="B4" s="68" t="s">
        <v>60</v>
      </c>
      <c r="D4" s="68" t="s">
        <v>104</v>
      </c>
      <c r="F4" s="68" t="s">
        <v>285</v>
      </c>
      <c r="H4" s="68" t="s">
        <v>50</v>
      </c>
      <c r="I4" s="1"/>
      <c r="J4" s="69">
        <v>0.25</v>
      </c>
    </row>
    <row r="5" spans="2:10" x14ac:dyDescent="0.25">
      <c r="B5" s="68" t="s">
        <v>185</v>
      </c>
      <c r="D5" s="68" t="s">
        <v>286</v>
      </c>
      <c r="H5" s="67"/>
      <c r="I5" s="1"/>
      <c r="J5" s="69">
        <v>0.29166666666666702</v>
      </c>
    </row>
    <row r="6" spans="2:10" x14ac:dyDescent="0.25">
      <c r="B6" s="68" t="s">
        <v>62</v>
      </c>
      <c r="D6" s="68" t="s">
        <v>287</v>
      </c>
      <c r="I6" s="1"/>
      <c r="J6" s="69">
        <v>0.33333333333333298</v>
      </c>
    </row>
    <row r="7" spans="2:10" x14ac:dyDescent="0.25">
      <c r="B7" s="68" t="s">
        <v>288</v>
      </c>
      <c r="D7" s="68" t="s">
        <v>39</v>
      </c>
      <c r="I7" s="1"/>
      <c r="J7" s="69">
        <v>0.375</v>
      </c>
    </row>
    <row r="8" spans="2:10" x14ac:dyDescent="0.25">
      <c r="D8" s="68" t="s">
        <v>277</v>
      </c>
      <c r="I8" s="1"/>
      <c r="J8" s="69">
        <v>0.41666666666666702</v>
      </c>
    </row>
    <row r="9" spans="2:10" x14ac:dyDescent="0.25">
      <c r="I9" s="1"/>
      <c r="J9" s="69">
        <v>0.45833333333333298</v>
      </c>
    </row>
    <row r="10" spans="2:10" x14ac:dyDescent="0.25">
      <c r="I10" s="1"/>
      <c r="J10" s="69">
        <v>0.5</v>
      </c>
    </row>
    <row r="11" spans="2:10" x14ac:dyDescent="0.25">
      <c r="I11" s="1"/>
      <c r="J11" s="69">
        <v>0.54166666666666696</v>
      </c>
    </row>
    <row r="12" spans="2:10" x14ac:dyDescent="0.25">
      <c r="J12" s="70">
        <v>0.58333333333333304</v>
      </c>
    </row>
    <row r="13" spans="2:10" x14ac:dyDescent="0.25">
      <c r="J13" s="70">
        <v>0.625</v>
      </c>
    </row>
    <row r="14" spans="2:10" x14ac:dyDescent="0.25">
      <c r="J14" s="70">
        <v>0.66666666666666696</v>
      </c>
    </row>
    <row r="15" spans="2:10" x14ac:dyDescent="0.25">
      <c r="J15" s="70">
        <v>0.70833333333333304</v>
      </c>
    </row>
    <row r="16" spans="2:10" x14ac:dyDescent="0.25">
      <c r="J16" s="70">
        <v>0.75</v>
      </c>
    </row>
    <row r="17" spans="10:10" x14ac:dyDescent="0.25">
      <c r="J17" s="70">
        <v>0.79166666666666696</v>
      </c>
    </row>
    <row r="18" spans="10:10" x14ac:dyDescent="0.25">
      <c r="J18" s="70">
        <v>0.83333333333333304</v>
      </c>
    </row>
    <row r="19" spans="10:10" x14ac:dyDescent="0.25">
      <c r="J19" s="70">
        <v>0.875</v>
      </c>
    </row>
    <row r="20" spans="10:10" x14ac:dyDescent="0.25">
      <c r="J20" s="70">
        <v>0.91666666666666696</v>
      </c>
    </row>
    <row r="21" spans="10:10" x14ac:dyDescent="0.25">
      <c r="J21" s="70">
        <v>0.95833333333333304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9"/>
  <dimension ref="A2:G25"/>
  <sheetViews>
    <sheetView zoomScaleNormal="100" workbookViewId="0">
      <selection activeCell="G5" sqref="G5"/>
    </sheetView>
  </sheetViews>
  <sheetFormatPr baseColWidth="10" defaultColWidth="10.5703125" defaultRowHeight="15" x14ac:dyDescent="0.25"/>
  <cols>
    <col min="2" max="2" width="17.140625" customWidth="1"/>
    <col min="3" max="3" width="13.85546875" customWidth="1"/>
    <col min="6" max="6" width="12.7109375" customWidth="1"/>
  </cols>
  <sheetData>
    <row r="2" spans="2:7" ht="15.75" customHeight="1" x14ac:dyDescent="0.25">
      <c r="B2" s="71">
        <v>46118</v>
      </c>
    </row>
    <row r="3" spans="2:7" ht="16.5" customHeight="1" x14ac:dyDescent="0.25">
      <c r="B3" s="130" t="s">
        <v>289</v>
      </c>
      <c r="C3" s="130"/>
      <c r="D3" s="130"/>
      <c r="E3" s="130"/>
      <c r="F3" s="130"/>
      <c r="G3" s="130"/>
    </row>
    <row r="4" spans="2:7" ht="16.5" customHeight="1" x14ac:dyDescent="0.25">
      <c r="B4" s="72"/>
      <c r="C4" s="73" t="s">
        <v>290</v>
      </c>
      <c r="D4" s="73" t="s">
        <v>291</v>
      </c>
      <c r="E4" s="73" t="s">
        <v>292</v>
      </c>
      <c r="F4" s="74" t="s">
        <v>293</v>
      </c>
      <c r="G4" s="75">
        <v>46174</v>
      </c>
    </row>
    <row r="5" spans="2:7" ht="16.5" customHeight="1" x14ac:dyDescent="0.25">
      <c r="B5" s="76" t="s">
        <v>7</v>
      </c>
      <c r="C5" s="77">
        <v>0.9</v>
      </c>
      <c r="D5" s="77">
        <v>0.90500000000000003</v>
      </c>
      <c r="E5" s="77">
        <v>0.91500000000000004</v>
      </c>
      <c r="F5" s="78">
        <v>0.91</v>
      </c>
      <c r="G5" s="79">
        <v>1008</v>
      </c>
    </row>
    <row r="6" spans="2:7" ht="16.5" customHeight="1" x14ac:dyDescent="0.25">
      <c r="B6" s="76" t="s">
        <v>60</v>
      </c>
      <c r="C6" s="77">
        <v>0.91500000000000004</v>
      </c>
      <c r="D6" s="77">
        <v>0.89</v>
      </c>
      <c r="E6" s="77">
        <v>0.92500000000000004</v>
      </c>
      <c r="F6" s="78">
        <v>0.91</v>
      </c>
      <c r="G6" s="80">
        <v>995</v>
      </c>
    </row>
    <row r="7" spans="2:7" ht="16.5" customHeight="1" x14ac:dyDescent="0.25">
      <c r="B7" s="76" t="s">
        <v>185</v>
      </c>
      <c r="C7" s="77">
        <v>0.63500000000000001</v>
      </c>
      <c r="D7" s="77">
        <v>0.63500000000000001</v>
      </c>
      <c r="E7" s="77">
        <v>0.64</v>
      </c>
      <c r="F7" s="78">
        <v>0.64</v>
      </c>
      <c r="G7" s="79">
        <v>795</v>
      </c>
    </row>
    <row r="8" spans="2:7" ht="16.5" customHeight="1" x14ac:dyDescent="0.25">
      <c r="B8" s="76" t="s">
        <v>62</v>
      </c>
      <c r="C8" s="77">
        <v>0.88500000000000001</v>
      </c>
      <c r="D8" s="77">
        <v>0.875</v>
      </c>
      <c r="E8" s="77">
        <v>0.88500000000000001</v>
      </c>
      <c r="F8" s="78">
        <v>0.88</v>
      </c>
      <c r="G8" s="79">
        <v>985</v>
      </c>
    </row>
    <row r="9" spans="2:7" ht="16.5" customHeight="1" x14ac:dyDescent="0.25">
      <c r="B9" s="81" t="s">
        <v>288</v>
      </c>
      <c r="C9" s="77">
        <v>0.9</v>
      </c>
      <c r="D9" s="77">
        <v>0.90500000000000003</v>
      </c>
      <c r="E9" s="77">
        <v>0.91500000000000004</v>
      </c>
      <c r="F9" s="78">
        <v>0.91</v>
      </c>
      <c r="G9" s="80">
        <v>985</v>
      </c>
    </row>
    <row r="11" spans="2:7" hidden="1" x14ac:dyDescent="0.25">
      <c r="B11" s="9" t="s">
        <v>294</v>
      </c>
      <c r="C11" s="2"/>
      <c r="D11" s="2"/>
      <c r="E11" s="2"/>
      <c r="F11" s="2" t="s">
        <v>295</v>
      </c>
      <c r="G11" s="82">
        <v>46169</v>
      </c>
    </row>
    <row r="12" spans="2:7" hidden="1" x14ac:dyDescent="0.25">
      <c r="B12" s="2"/>
      <c r="C12" s="2"/>
      <c r="D12" s="2"/>
      <c r="E12" s="2"/>
      <c r="F12" s="2"/>
      <c r="G12" s="2"/>
    </row>
    <row r="13" spans="2:7" hidden="1" x14ac:dyDescent="0.25">
      <c r="B13" s="2" t="s">
        <v>296</v>
      </c>
      <c r="C13" s="2"/>
      <c r="D13" s="2" t="s">
        <v>5</v>
      </c>
      <c r="E13" s="2" t="s">
        <v>297</v>
      </c>
      <c r="F13" s="2" t="s">
        <v>298</v>
      </c>
      <c r="G13" s="2" t="s">
        <v>299</v>
      </c>
    </row>
    <row r="14" spans="2:7" hidden="1" x14ac:dyDescent="0.25">
      <c r="B14" s="2">
        <v>10</v>
      </c>
      <c r="C14" s="83" t="s">
        <v>300</v>
      </c>
      <c r="D14" s="83">
        <v>1025</v>
      </c>
      <c r="E14" s="84">
        <f>+D14*0.97</f>
        <v>994.25</v>
      </c>
      <c r="F14" s="84">
        <f>+D14*1.03</f>
        <v>1055.75</v>
      </c>
      <c r="G14" s="83">
        <v>2</v>
      </c>
    </row>
    <row r="15" spans="2:7" hidden="1" x14ac:dyDescent="0.25">
      <c r="B15" s="85">
        <v>13</v>
      </c>
      <c r="C15" s="83" t="s">
        <v>301</v>
      </c>
      <c r="D15" s="83">
        <v>995</v>
      </c>
      <c r="E15" s="84">
        <f>+D15*0.97</f>
        <v>965.15</v>
      </c>
      <c r="F15" s="84">
        <f>+D15*1.03</f>
        <v>1024.8500000000001</v>
      </c>
      <c r="G15" s="83">
        <v>2</v>
      </c>
    </row>
    <row r="16" spans="2:7" hidden="1" x14ac:dyDescent="0.25">
      <c r="B16" s="2">
        <v>12</v>
      </c>
      <c r="C16" s="86" t="s">
        <v>302</v>
      </c>
      <c r="D16" s="86">
        <v>1000</v>
      </c>
      <c r="E16" s="87">
        <f>+D16*0.97</f>
        <v>970</v>
      </c>
      <c r="F16" s="87">
        <f>+D16*1.03</f>
        <v>1030</v>
      </c>
      <c r="G16" s="86">
        <v>2.173</v>
      </c>
    </row>
    <row r="17" spans="1:7" hidden="1" x14ac:dyDescent="0.25">
      <c r="B17" s="2">
        <v>11</v>
      </c>
      <c r="C17" s="86" t="s">
        <v>303</v>
      </c>
      <c r="D17" s="86">
        <v>985</v>
      </c>
      <c r="E17" s="87">
        <f>+D17*0.97</f>
        <v>955.44999999999993</v>
      </c>
      <c r="F17" s="87">
        <f>+D17*1.03</f>
        <v>1014.5500000000001</v>
      </c>
      <c r="G17" s="86">
        <v>2</v>
      </c>
    </row>
    <row r="18" spans="1:7" hidden="1" x14ac:dyDescent="0.25"/>
    <row r="19" spans="1:7" hidden="1" x14ac:dyDescent="0.25"/>
    <row r="20" spans="1:7" hidden="1" x14ac:dyDescent="0.25">
      <c r="B20" s="2"/>
      <c r="C20" s="2"/>
      <c r="D20" s="2"/>
      <c r="E20" s="2"/>
      <c r="F20" s="2"/>
      <c r="G20" s="2"/>
    </row>
    <row r="21" spans="1:7" hidden="1" x14ac:dyDescent="0.25">
      <c r="A21" s="83" t="s">
        <v>304</v>
      </c>
      <c r="C21" s="84" t="s">
        <v>7</v>
      </c>
      <c r="D21" s="83">
        <f>+AVERAGE(D14:D15)</f>
        <v>1010</v>
      </c>
      <c r="E21" s="84">
        <f>+AVERAGE(E14:E15)</f>
        <v>979.7</v>
      </c>
      <c r="F21" s="84">
        <f>+AVERAGE(F14:F15)</f>
        <v>1040.3000000000002</v>
      </c>
      <c r="G21" s="83">
        <v>2</v>
      </c>
    </row>
    <row r="22" spans="1:7" hidden="1" x14ac:dyDescent="0.25">
      <c r="A22" s="86" t="s">
        <v>305</v>
      </c>
      <c r="C22" s="87" t="s">
        <v>60</v>
      </c>
      <c r="D22" s="87">
        <f>+AVERAGE(D16:D17)</f>
        <v>992.5</v>
      </c>
      <c r="E22" s="87">
        <f>+AVERAGE(E16:E17)</f>
        <v>962.72499999999991</v>
      </c>
      <c r="F22" s="87">
        <f>+AVERAGE(F16:F17)</f>
        <v>1022.2750000000001</v>
      </c>
      <c r="G22" s="88">
        <f>+AVERAGE(G16:G17)</f>
        <v>2.0865</v>
      </c>
    </row>
    <row r="23" spans="1:7" hidden="1" x14ac:dyDescent="0.25">
      <c r="B23" s="85">
        <f>+B15</f>
        <v>13</v>
      </c>
      <c r="C23" s="89" t="s">
        <v>62</v>
      </c>
      <c r="D23" s="89">
        <f>+D15</f>
        <v>995</v>
      </c>
      <c r="E23" s="90">
        <f>+D23*0.97</f>
        <v>965.15</v>
      </c>
      <c r="F23" s="90">
        <f>+D23*1.03</f>
        <v>1024.8500000000001</v>
      </c>
      <c r="G23" s="89">
        <v>2</v>
      </c>
    </row>
    <row r="24" spans="1:7" hidden="1" x14ac:dyDescent="0.25">
      <c r="B24" s="2">
        <v>14</v>
      </c>
      <c r="C24" s="91" t="s">
        <v>185</v>
      </c>
      <c r="D24" s="91">
        <v>750</v>
      </c>
      <c r="E24" s="92">
        <f>+D24*0.97</f>
        <v>727.5</v>
      </c>
      <c r="F24" s="92">
        <f>+D24*1.03</f>
        <v>772.5</v>
      </c>
      <c r="G24" s="91">
        <v>2</v>
      </c>
    </row>
    <row r="25" spans="1:7" hidden="1" x14ac:dyDescent="0.25">
      <c r="C25" s="81" t="s">
        <v>288</v>
      </c>
      <c r="D25" s="84">
        <f>+D21</f>
        <v>1010</v>
      </c>
      <c r="E25" s="84">
        <f>+E21</f>
        <v>979.7</v>
      </c>
      <c r="F25" s="84">
        <f>+F21</f>
        <v>1040.3000000000002</v>
      </c>
      <c r="G25" s="84">
        <f>+G21</f>
        <v>2</v>
      </c>
    </row>
  </sheetData>
  <sheetProtection algorithmName="SHA-512" hashValue="6ezxp+uQN2FkB79RZaHvM/YfofXCZQdusfbiwMJvoaDUkLpV9mcLNfHKkbq7MMm3T0VDrPjB9BZ4GzvAh58hPQ==" saltValue="g11ypK0sijPtWMqlivQ3AA==" spinCount="100000" sheet="1" objects="1" scenarios="1"/>
  <mergeCells count="1">
    <mergeCell ref="B3:G3"/>
  </mergeCells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GRÁFICO</vt:lpstr>
      <vt:lpstr>CTRL_PESO_VISUAL</vt:lpstr>
      <vt:lpstr>TABLA-PCPAL</vt:lpstr>
      <vt:lpstr>LISTADOS</vt:lpstr>
      <vt:lpstr>PESOS STD</vt:lpstr>
      <vt:lpstr>CTRL_PESO_VISUAL!Área_de_impresión</vt:lpstr>
      <vt:lpstr>TM</vt:lpstr>
      <vt:lpstr>TT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Lucas Benitez</dc:creator>
  <dc:description/>
  <cp:lastModifiedBy>Lucas Benitez</cp:lastModifiedBy>
  <cp:revision>4</cp:revision>
  <cp:lastPrinted>2026-05-29T15:59:32Z</cp:lastPrinted>
  <dcterms:created xsi:type="dcterms:W3CDTF">2026-04-06T13:53:50Z</dcterms:created>
  <dcterms:modified xsi:type="dcterms:W3CDTF">2026-09-24T18:51:15Z</dcterms:modified>
  <dc:language>en-US</dc:language>
</cp:coreProperties>
</file>